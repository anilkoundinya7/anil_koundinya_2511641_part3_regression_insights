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750292B-7282-4865-8284-834E3E1F78C4}" xr6:coauthVersionLast="47" xr6:coauthVersionMax="47" xr10:uidLastSave="{00000000-0000-0000-0000-000000000000}"/>
  <bookViews>
    <workbookView xWindow="-110" yWindow="-110" windowWidth="19420" windowHeight="11500" tabRatio="887" activeTab="7" xr2:uid="{80A7C1AC-EA48-4471-9F12-0147317720F8}"/>
  </bookViews>
  <sheets>
    <sheet name="Original_Data" sheetId="1" r:id="rId1"/>
    <sheet name="Clean_Data" sheetId="2" r:id="rId2"/>
    <sheet name="Dummy_Variables" sheetId="3" r:id="rId3"/>
    <sheet name="Simple_Regression_1" sheetId="4" r:id="rId4"/>
    <sheet name="Simple_Regression_2" sheetId="8" r:id="rId5"/>
    <sheet name="Multiple_Regression" sheetId="5" r:id="rId6"/>
    <sheet name="Predictions_Residuals" sheetId="6" r:id="rId7"/>
    <sheet name="Model_Comparison" sheetId="7" r:id="rId8"/>
  </sheets>
  <definedNames>
    <definedName name="_xlnm._FilterDatabase" localSheetId="2" hidden="1">Dummy_Variables!$D$1:$D$321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3" l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</calcChain>
</file>

<file path=xl/sharedStrings.xml><?xml version="1.0" encoding="utf-8"?>
<sst xmlns="http://schemas.openxmlformats.org/spreadsheetml/2006/main" count="4000" uniqueCount="147">
  <si>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</si>
  <si>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</si>
  <si>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</si>
  <si>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</si>
  <si>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</si>
  <si>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</si>
  <si>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</si>
  <si>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</si>
  <si>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</si>
  <si>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</si>
  <si>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</si>
  <si>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</si>
  <si>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</si>
  <si>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</si>
  <si>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</si>
  <si>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2025-01</t>
  </si>
  <si>
    <t>East</t>
  </si>
  <si>
    <t>Residential</t>
  </si>
  <si>
    <t>2025-02</t>
  </si>
  <si>
    <t>2025-03</t>
  </si>
  <si>
    <t>2025-04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</si>
  <si>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</si>
  <si>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</si>
  <si>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</si>
  <si>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</si>
  <si>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</si>
  <si>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</si>
  <si>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</si>
  <si>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</si>
  <si>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</si>
  <si>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</si>
  <si>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</si>
  <si>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</si>
  <si>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</si>
  <si>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</si>
  <si>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</si>
  <si>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</si>
  <si>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</si>
  <si>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</si>
  <si>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</si>
  <si>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</si>
  <si>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</si>
  <si>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</si>
  <si>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</si>
  <si>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</si>
  <si>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</si>
  <si>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</si>
  <si>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</si>
  <si>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</si>
  <si>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</si>
  <si>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</si>
  <si>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</si>
  <si>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</si>
  <si>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</si>
  <si>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</si>
  <si>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</si>
  <si>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</si>
  <si>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</si>
  <si>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</si>
  <si>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</si>
  <si>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</si>
  <si>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</si>
  <si>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</si>
  <si>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</si>
  <si>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</si>
  <si>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</si>
  <si>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</si>
  <si>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</si>
  <si>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</si>
  <si>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</si>
  <si>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</si>
  <si>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</si>
  <si>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</si>
  <si>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</si>
  <si>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</si>
  <si>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</si>
  <si>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</si>
  <si>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</si>
  <si>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</si>
  <si>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</si>
  <si>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</si>
  <si>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</si>
  <si>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</si>
  <si>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</si>
  <si>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</si>
  <si>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</si>
  <si>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</si>
  <si>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</si>
  <si>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</si>
  <si>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</si>
  <si>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</si>
  <si>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</si>
  <si>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</si>
  <si>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</si>
  <si>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</si>
  <si>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</si>
  <si>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</si>
  <si>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</si>
  <si>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</si>
  <si>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</si>
  <si>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</si>
  <si>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</si>
  <si>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</si>
  <si>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</si>
  <si>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</si>
  <si>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</si>
  <si>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airport_dummy</t>
  </si>
  <si>
    <t>high_street_dummy</t>
  </si>
  <si>
    <t>mall_dummy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</si>
  <si>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</si>
  <si>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</si>
  <si>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</si>
  <si>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</si>
  <si>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</si>
  <si>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</si>
  <si>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</si>
  <si>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</si>
  <si>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</si>
  <si>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</si>
  <si>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</si>
  <si>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</si>
  <si>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</si>
  <si>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</si>
  <si>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</si>
  <si>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</si>
  <si>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</si>
  <si>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</si>
  <si>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</si>
  <si>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</si>
  <si>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</si>
  <si>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</si>
  <si>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</si>
  <si>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</si>
  <si>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</si>
  <si>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</si>
  <si>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</si>
  <si>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</si>
  <si>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inventory_availability</t>
  </si>
  <si>
    <t>Model</t>
  </si>
  <si>
    <t>Variables Used</t>
  </si>
  <si>
    <t>Best Model</t>
  </si>
  <si>
    <t>Model 1</t>
  </si>
  <si>
    <t>No</t>
  </si>
  <si>
    <t>Model 2</t>
  </si>
  <si>
    <t>Model 3</t>
  </si>
  <si>
    <t>marketing_spend + footfall + inventory_availability + airport_dummy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</si>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</sst>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Continuous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D001-EA40-473F-B31A-D47E7698E4B5}">
  <dimension ref="A1:N321"/>
  <sheetViews>
    <sheetView zoomScale="76" workbookViewId="0">
      <selection activeCell="L35" sqref="L35"/>
    </sheetView>
  </sheetViews>
  <sheetFormatPr defaultRowHeight="14.5"/>
  <cols>
    <col min="1" max="1" width="15.08984375" customWidth="1"/>
    <col min="2" max="2" width="8.7265625" customWidth="1"/>
    <col min="4" max="4" width="10.36328125" customWidth="1"/>
    <col min="5" max="5" width="17.6328125" customWidth="1"/>
    <col min="7" max="7" width="20.08984375" customWidth="1"/>
    <col min="8" max="8" width="13.36328125" customWidth="1"/>
    <col min="9" max="9" width="20.90625" customWidth="1"/>
    <col min="10" max="10" width="18.90625" customWidth="1"/>
    <col min="11" max="11" width="14.08984375" customWidth="1"/>
    <col min="12" max="12" width="18.36328125" customWidth="1"/>
    <col min="13" max="13" width="15" customWidth="1"/>
    <col min="14" max="14" width="17.08984375" customWidth="1"/>
  </cols>
  <sheetData>
    <row r="1" spans="1:14" ht="5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thickBot="1">
      <c r="A2" s="2" t="s">
        <v>14</v>
      </c>
      <c r="B2" s="3" t="s">
        <v>15</v>
      </c>
      <c r="C2" s="2" t="s">
        <v>16</v>
      </c>
      <c r="D2" s="2" t="s">
        <v>17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 ht="29" thickBot="1">
      <c r="A3" s="2" t="s">
        <v>14</v>
      </c>
      <c r="B3" s="3" t="s">
        <v>18</v>
      </c>
      <c r="C3" s="2" t="s">
        <v>16</v>
      </c>
      <c r="D3" s="2" t="s">
        <v>17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 ht="29" thickBot="1">
      <c r="A4" s="2" t="s">
        <v>14</v>
      </c>
      <c r="B4" s="3" t="s">
        <v>19</v>
      </c>
      <c r="C4" s="2" t="s">
        <v>16</v>
      </c>
      <c r="D4" s="2" t="s">
        <v>17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 ht="29" thickBot="1">
      <c r="A5" s="2" t="s">
        <v>14</v>
      </c>
      <c r="B5" s="3" t="s">
        <v>20</v>
      </c>
      <c r="C5" s="2" t="s">
        <v>16</v>
      </c>
      <c r="D5" s="2" t="s">
        <v>17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 ht="29" thickBot="1">
      <c r="A6" s="2" t="s">
        <v>21</v>
      </c>
      <c r="B6" s="3" t="s">
        <v>15</v>
      </c>
      <c r="C6" s="2" t="s">
        <v>16</v>
      </c>
      <c r="D6" s="2" t="s">
        <v>22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 ht="29" thickBot="1">
      <c r="A7" s="2" t="s">
        <v>21</v>
      </c>
      <c r="B7" s="3" t="s">
        <v>18</v>
      </c>
      <c r="C7" s="2" t="s">
        <v>16</v>
      </c>
      <c r="D7" s="2" t="s">
        <v>22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 ht="29" thickBot="1">
      <c r="A8" s="2" t="s">
        <v>21</v>
      </c>
      <c r="B8" s="3" t="s">
        <v>19</v>
      </c>
      <c r="C8" s="2" t="s">
        <v>16</v>
      </c>
      <c r="D8" s="2" t="s">
        <v>22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 ht="29" thickBot="1">
      <c r="A9" s="2" t="s">
        <v>21</v>
      </c>
      <c r="B9" s="3" t="s">
        <v>20</v>
      </c>
      <c r="C9" s="2" t="s">
        <v>16</v>
      </c>
      <c r="D9" s="2" t="s">
        <v>22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 ht="29" thickBot="1">
      <c r="A10" s="2" t="s">
        <v>23</v>
      </c>
      <c r="B10" s="3" t="s">
        <v>15</v>
      </c>
      <c r="C10" s="2" t="s">
        <v>24</v>
      </c>
      <c r="D10" s="2" t="s">
        <v>25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 ht="29" thickBot="1">
      <c r="A11" s="2" t="s">
        <v>23</v>
      </c>
      <c r="B11" s="3" t="s">
        <v>18</v>
      </c>
      <c r="C11" s="2" t="s">
        <v>24</v>
      </c>
      <c r="D11" s="2" t="s">
        <v>25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 ht="29" thickBot="1">
      <c r="A12" s="2" t="s">
        <v>23</v>
      </c>
      <c r="B12" s="3" t="s">
        <v>19</v>
      </c>
      <c r="C12" s="2" t="s">
        <v>24</v>
      </c>
      <c r="D12" s="2" t="s">
        <v>25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 ht="29" thickBot="1">
      <c r="A13" s="2" t="s">
        <v>23</v>
      </c>
      <c r="B13" s="3" t="s">
        <v>20</v>
      </c>
      <c r="C13" s="2" t="s">
        <v>24</v>
      </c>
      <c r="D13" s="2" t="s">
        <v>25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 ht="29" thickBot="1">
      <c r="A14" s="2" t="s">
        <v>26</v>
      </c>
      <c r="B14" s="3" t="s">
        <v>15</v>
      </c>
      <c r="C14" s="2" t="s">
        <v>16</v>
      </c>
      <c r="D14" s="2" t="s">
        <v>17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 ht="29" thickBot="1">
      <c r="A15" s="2" t="s">
        <v>26</v>
      </c>
      <c r="B15" s="3" t="s">
        <v>18</v>
      </c>
      <c r="C15" s="2" t="s">
        <v>16</v>
      </c>
      <c r="D15" s="2" t="s">
        <v>17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 ht="29" thickBot="1">
      <c r="A16" s="2" t="s">
        <v>26</v>
      </c>
      <c r="B16" s="3" t="s">
        <v>19</v>
      </c>
      <c r="C16" s="2" t="s">
        <v>16</v>
      </c>
      <c r="D16" s="2" t="s">
        <v>17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 ht="29" thickBot="1">
      <c r="A17" s="2" t="s">
        <v>26</v>
      </c>
      <c r="B17" s="3" t="s">
        <v>20</v>
      </c>
      <c r="C17" s="2" t="s">
        <v>16</v>
      </c>
      <c r="D17" s="2" t="s">
        <v>17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 ht="29" thickBot="1">
      <c r="A18" s="2" t="s">
        <v>27</v>
      </c>
      <c r="B18" s="3" t="s">
        <v>15</v>
      </c>
      <c r="C18" s="2" t="s">
        <v>28</v>
      </c>
      <c r="D18" s="2" t="s">
        <v>17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 ht="29" thickBot="1">
      <c r="A19" s="2" t="s">
        <v>27</v>
      </c>
      <c r="B19" s="3" t="s">
        <v>18</v>
      </c>
      <c r="C19" s="2" t="s">
        <v>28</v>
      </c>
      <c r="D19" s="2" t="s">
        <v>17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 ht="29" thickBot="1">
      <c r="A20" s="2" t="s">
        <v>27</v>
      </c>
      <c r="B20" s="3" t="s">
        <v>19</v>
      </c>
      <c r="C20" s="2" t="s">
        <v>28</v>
      </c>
      <c r="D20" s="2" t="s">
        <v>17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 ht="29" thickBot="1">
      <c r="A21" s="2" t="s">
        <v>27</v>
      </c>
      <c r="B21" s="3" t="s">
        <v>20</v>
      </c>
      <c r="C21" s="2" t="s">
        <v>28</v>
      </c>
      <c r="D21" s="2" t="s">
        <v>17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 ht="29" thickBot="1">
      <c r="A22" s="2" t="s">
        <v>29</v>
      </c>
      <c r="B22" s="3" t="s">
        <v>15</v>
      </c>
      <c r="C22" s="2" t="s">
        <v>24</v>
      </c>
      <c r="D22" s="2" t="s">
        <v>17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 ht="29" thickBot="1">
      <c r="A23" s="2" t="s">
        <v>29</v>
      </c>
      <c r="B23" s="3" t="s">
        <v>18</v>
      </c>
      <c r="C23" s="2" t="s">
        <v>24</v>
      </c>
      <c r="D23" s="2" t="s">
        <v>17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 ht="29" thickBot="1">
      <c r="A24" s="2" t="s">
        <v>29</v>
      </c>
      <c r="B24" s="3" t="s">
        <v>19</v>
      </c>
      <c r="C24" s="2" t="s">
        <v>24</v>
      </c>
      <c r="D24" s="2" t="s">
        <v>17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 ht="29" thickBot="1">
      <c r="A25" s="2" t="s">
        <v>29</v>
      </c>
      <c r="B25" s="3" t="s">
        <v>20</v>
      </c>
      <c r="C25" s="2" t="s">
        <v>24</v>
      </c>
      <c r="D25" s="2" t="s">
        <v>17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 ht="29" thickBot="1">
      <c r="A26" s="2" t="s">
        <v>30</v>
      </c>
      <c r="B26" s="3" t="s">
        <v>15</v>
      </c>
      <c r="C26" s="2" t="s">
        <v>31</v>
      </c>
      <c r="D26" s="2" t="s">
        <v>32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 ht="29" thickBot="1">
      <c r="A27" s="2" t="s">
        <v>30</v>
      </c>
      <c r="B27" s="3" t="s">
        <v>18</v>
      </c>
      <c r="C27" s="2" t="s">
        <v>31</v>
      </c>
      <c r="D27" s="2" t="s">
        <v>32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 ht="29" thickBot="1">
      <c r="A28" s="2" t="s">
        <v>30</v>
      </c>
      <c r="B28" s="3" t="s">
        <v>19</v>
      </c>
      <c r="C28" s="2" t="s">
        <v>31</v>
      </c>
      <c r="D28" s="2" t="s">
        <v>32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 ht="29" thickBot="1">
      <c r="A29" s="2" t="s">
        <v>30</v>
      </c>
      <c r="B29" s="3" t="s">
        <v>20</v>
      </c>
      <c r="C29" s="2" t="s">
        <v>31</v>
      </c>
      <c r="D29" s="2" t="s">
        <v>32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 ht="29" thickBot="1">
      <c r="A30" s="2" t="s">
        <v>33</v>
      </c>
      <c r="B30" s="3" t="s">
        <v>15</v>
      </c>
      <c r="C30" s="2" t="s">
        <v>16</v>
      </c>
      <c r="D30" s="2" t="s">
        <v>17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 ht="29" thickBot="1">
      <c r="A31" s="2" t="s">
        <v>33</v>
      </c>
      <c r="B31" s="3" t="s">
        <v>18</v>
      </c>
      <c r="C31" s="2" t="s">
        <v>16</v>
      </c>
      <c r="D31" s="2" t="s">
        <v>17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 ht="29" thickBot="1">
      <c r="A32" s="2" t="s">
        <v>33</v>
      </c>
      <c r="B32" s="3" t="s">
        <v>19</v>
      </c>
      <c r="C32" s="2" t="s">
        <v>16</v>
      </c>
      <c r="D32" s="2" t="s">
        <v>17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 ht="29" thickBot="1">
      <c r="A33" s="2" t="s">
        <v>33</v>
      </c>
      <c r="B33" s="3" t="s">
        <v>20</v>
      </c>
      <c r="C33" s="2" t="s">
        <v>16</v>
      </c>
      <c r="D33" s="2" t="s">
        <v>17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 ht="29" thickBot="1">
      <c r="A34" s="2" t="s">
        <v>34</v>
      </c>
      <c r="B34" s="3" t="s">
        <v>15</v>
      </c>
      <c r="C34" s="2" t="s">
        <v>24</v>
      </c>
      <c r="D34" s="2" t="s">
        <v>17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 ht="29" thickBot="1">
      <c r="A35" s="2" t="s">
        <v>34</v>
      </c>
      <c r="B35" s="3" t="s">
        <v>18</v>
      </c>
      <c r="C35" s="2" t="s">
        <v>24</v>
      </c>
      <c r="D35" s="2" t="s">
        <v>17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2"/>
      <c r="M35" s="3">
        <v>799477.76000000001</v>
      </c>
      <c r="N35" s="3">
        <v>164974.41</v>
      </c>
    </row>
    <row r="36" spans="1:14" ht="29" thickBot="1">
      <c r="A36" s="2" t="s">
        <v>34</v>
      </c>
      <c r="B36" s="3" t="s">
        <v>19</v>
      </c>
      <c r="C36" s="2" t="s">
        <v>24</v>
      </c>
      <c r="D36" s="2" t="s">
        <v>17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 ht="29" thickBot="1">
      <c r="A37" s="2" t="s">
        <v>34</v>
      </c>
      <c r="B37" s="3" t="s">
        <v>20</v>
      </c>
      <c r="C37" s="2" t="s">
        <v>24</v>
      </c>
      <c r="D37" s="2" t="s">
        <v>17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 ht="29" thickBot="1">
      <c r="A38" s="2" t="s">
        <v>35</v>
      </c>
      <c r="B38" s="3" t="s">
        <v>15</v>
      </c>
      <c r="C38" s="2" t="s">
        <v>24</v>
      </c>
      <c r="D38" s="2" t="s">
        <v>32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 ht="29" thickBot="1">
      <c r="A39" s="2" t="s">
        <v>35</v>
      </c>
      <c r="B39" s="3" t="s">
        <v>18</v>
      </c>
      <c r="C39" s="2" t="s">
        <v>24</v>
      </c>
      <c r="D39" s="2" t="s">
        <v>32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 ht="29" thickBot="1">
      <c r="A40" s="2" t="s">
        <v>35</v>
      </c>
      <c r="B40" s="3" t="s">
        <v>19</v>
      </c>
      <c r="C40" s="2" t="s">
        <v>24</v>
      </c>
      <c r="D40" s="2" t="s">
        <v>32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 ht="29" thickBot="1">
      <c r="A41" s="2" t="s">
        <v>35</v>
      </c>
      <c r="B41" s="3" t="s">
        <v>20</v>
      </c>
      <c r="C41" s="2" t="s">
        <v>24</v>
      </c>
      <c r="D41" s="2" t="s">
        <v>32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 ht="29" thickBot="1">
      <c r="A42" s="2" t="s">
        <v>36</v>
      </c>
      <c r="B42" s="3" t="s">
        <v>15</v>
      </c>
      <c r="C42" s="2" t="s">
        <v>16</v>
      </c>
      <c r="D42" s="2" t="s">
        <v>32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 ht="29" thickBot="1">
      <c r="A43" s="2" t="s">
        <v>36</v>
      </c>
      <c r="B43" s="3" t="s">
        <v>18</v>
      </c>
      <c r="C43" s="2" t="s">
        <v>16</v>
      </c>
      <c r="D43" s="2" t="s">
        <v>32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 ht="29" thickBot="1">
      <c r="A44" s="2" t="s">
        <v>36</v>
      </c>
      <c r="B44" s="3" t="s">
        <v>19</v>
      </c>
      <c r="C44" s="2" t="s">
        <v>16</v>
      </c>
      <c r="D44" s="2" t="s">
        <v>32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 ht="29" thickBot="1">
      <c r="A45" s="2" t="s">
        <v>36</v>
      </c>
      <c r="B45" s="3" t="s">
        <v>20</v>
      </c>
      <c r="C45" s="2" t="s">
        <v>16</v>
      </c>
      <c r="D45" s="2" t="s">
        <v>32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 ht="29" thickBot="1">
      <c r="A46" s="2" t="s">
        <v>37</v>
      </c>
      <c r="B46" s="3" t="s">
        <v>15</v>
      </c>
      <c r="C46" s="2" t="s">
        <v>31</v>
      </c>
      <c r="D46" s="2" t="s">
        <v>17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 ht="29" thickBot="1">
      <c r="A47" s="2" t="s">
        <v>37</v>
      </c>
      <c r="B47" s="3" t="s">
        <v>18</v>
      </c>
      <c r="C47" s="2" t="s">
        <v>31</v>
      </c>
      <c r="D47" s="2" t="s">
        <v>17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 ht="29" thickBot="1">
      <c r="A48" s="2" t="s">
        <v>37</v>
      </c>
      <c r="B48" s="3" t="s">
        <v>19</v>
      </c>
      <c r="C48" s="2" t="s">
        <v>31</v>
      </c>
      <c r="D48" s="2" t="s">
        <v>17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 ht="29" thickBot="1">
      <c r="A49" s="2" t="s">
        <v>37</v>
      </c>
      <c r="B49" s="3" t="s">
        <v>20</v>
      </c>
      <c r="C49" s="2" t="s">
        <v>31</v>
      </c>
      <c r="D49" s="2" t="s">
        <v>17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 ht="29" thickBot="1">
      <c r="A50" s="2" t="s">
        <v>38</v>
      </c>
      <c r="B50" s="3" t="s">
        <v>15</v>
      </c>
      <c r="C50" s="2" t="s">
        <v>24</v>
      </c>
      <c r="D50" s="2" t="s">
        <v>32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 ht="29" thickBot="1">
      <c r="A51" s="2" t="s">
        <v>38</v>
      </c>
      <c r="B51" s="3" t="s">
        <v>18</v>
      </c>
      <c r="C51" s="2" t="s">
        <v>24</v>
      </c>
      <c r="D51" s="2" t="s">
        <v>32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 ht="29" thickBot="1">
      <c r="A52" s="2" t="s">
        <v>38</v>
      </c>
      <c r="B52" s="3" t="s">
        <v>19</v>
      </c>
      <c r="C52" s="2" t="s">
        <v>24</v>
      </c>
      <c r="D52" s="2" t="s">
        <v>32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 ht="29" thickBot="1">
      <c r="A53" s="2" t="s">
        <v>38</v>
      </c>
      <c r="B53" s="3" t="s">
        <v>20</v>
      </c>
      <c r="C53" s="2" t="s">
        <v>24</v>
      </c>
      <c r="D53" s="2" t="s">
        <v>32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 ht="29" thickBot="1">
      <c r="A54" s="2" t="s">
        <v>39</v>
      </c>
      <c r="B54" s="3" t="s">
        <v>15</v>
      </c>
      <c r="C54" s="2" t="s">
        <v>31</v>
      </c>
      <c r="D54" s="2" t="s">
        <v>22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 ht="29" thickBot="1">
      <c r="A55" s="2" t="s">
        <v>39</v>
      </c>
      <c r="B55" s="3" t="s">
        <v>18</v>
      </c>
      <c r="C55" s="2" t="s">
        <v>31</v>
      </c>
      <c r="D55" s="2" t="s">
        <v>22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 ht="29" thickBot="1">
      <c r="A56" s="2" t="s">
        <v>39</v>
      </c>
      <c r="B56" s="3" t="s">
        <v>19</v>
      </c>
      <c r="C56" s="2" t="s">
        <v>31</v>
      </c>
      <c r="D56" s="2" t="s">
        <v>22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 ht="29" thickBot="1">
      <c r="A57" s="2" t="s">
        <v>39</v>
      </c>
      <c r="B57" s="3" t="s">
        <v>20</v>
      </c>
      <c r="C57" s="2" t="s">
        <v>31</v>
      </c>
      <c r="D57" s="2" t="s">
        <v>22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 ht="29" thickBot="1">
      <c r="A58" s="2" t="s">
        <v>40</v>
      </c>
      <c r="B58" s="3" t="s">
        <v>15</v>
      </c>
      <c r="C58" s="2" t="s">
        <v>16</v>
      </c>
      <c r="D58" s="2" t="s">
        <v>25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 ht="29" thickBot="1">
      <c r="A59" s="2" t="s">
        <v>40</v>
      </c>
      <c r="B59" s="3" t="s">
        <v>18</v>
      </c>
      <c r="C59" s="2" t="s">
        <v>16</v>
      </c>
      <c r="D59" s="2" t="s">
        <v>25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 ht="29" thickBot="1">
      <c r="A60" s="2" t="s">
        <v>40</v>
      </c>
      <c r="B60" s="3" t="s">
        <v>19</v>
      </c>
      <c r="C60" s="2" t="s">
        <v>16</v>
      </c>
      <c r="D60" s="2" t="s">
        <v>25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 ht="29" thickBot="1">
      <c r="A61" s="2" t="s">
        <v>40</v>
      </c>
      <c r="B61" s="3" t="s">
        <v>20</v>
      </c>
      <c r="C61" s="2" t="s">
        <v>16</v>
      </c>
      <c r="D61" s="2" t="s">
        <v>25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 ht="29" thickBot="1">
      <c r="A62" s="2" t="s">
        <v>41</v>
      </c>
      <c r="B62" s="3" t="s">
        <v>15</v>
      </c>
      <c r="C62" s="2" t="s">
        <v>28</v>
      </c>
      <c r="D62" s="2" t="s">
        <v>22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 ht="29" thickBot="1">
      <c r="A63" s="2" t="s">
        <v>41</v>
      </c>
      <c r="B63" s="3" t="s">
        <v>18</v>
      </c>
      <c r="C63" s="2" t="s">
        <v>28</v>
      </c>
      <c r="D63" s="2" t="s">
        <v>22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 ht="29" thickBot="1">
      <c r="A64" s="2" t="s">
        <v>41</v>
      </c>
      <c r="B64" s="3" t="s">
        <v>19</v>
      </c>
      <c r="C64" s="2" t="s">
        <v>28</v>
      </c>
      <c r="D64" s="2" t="s">
        <v>22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 ht="29" thickBot="1">
      <c r="A65" s="2" t="s">
        <v>41</v>
      </c>
      <c r="B65" s="3" t="s">
        <v>20</v>
      </c>
      <c r="C65" s="2" t="s">
        <v>28</v>
      </c>
      <c r="D65" s="2" t="s">
        <v>22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 ht="29" thickBot="1">
      <c r="A66" s="2" t="s">
        <v>42</v>
      </c>
      <c r="B66" s="3" t="s">
        <v>15</v>
      </c>
      <c r="C66" s="2" t="s">
        <v>31</v>
      </c>
      <c r="D66" s="2" t="s">
        <v>22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 ht="29" thickBot="1">
      <c r="A67" s="2" t="s">
        <v>42</v>
      </c>
      <c r="B67" s="3" t="s">
        <v>18</v>
      </c>
      <c r="C67" s="2" t="s">
        <v>31</v>
      </c>
      <c r="D67" s="2" t="s">
        <v>22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 ht="29" thickBot="1">
      <c r="A68" s="2" t="s">
        <v>42</v>
      </c>
      <c r="B68" s="3" t="s">
        <v>19</v>
      </c>
      <c r="C68" s="2" t="s">
        <v>31</v>
      </c>
      <c r="D68" s="2" t="s">
        <v>22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 ht="29" thickBot="1">
      <c r="A69" s="2" t="s">
        <v>42</v>
      </c>
      <c r="B69" s="3" t="s">
        <v>20</v>
      </c>
      <c r="C69" s="2" t="s">
        <v>31</v>
      </c>
      <c r="D69" s="2" t="s">
        <v>22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 ht="29" thickBot="1">
      <c r="A70" s="2" t="s">
        <v>43</v>
      </c>
      <c r="B70" s="3" t="s">
        <v>15</v>
      </c>
      <c r="C70" s="2" t="s">
        <v>16</v>
      </c>
      <c r="D70" s="2" t="s">
        <v>22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 ht="29" thickBot="1">
      <c r="A71" s="2" t="s">
        <v>43</v>
      </c>
      <c r="B71" s="3" t="s">
        <v>18</v>
      </c>
      <c r="C71" s="2" t="s">
        <v>16</v>
      </c>
      <c r="D71" s="2" t="s">
        <v>22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 ht="29" thickBot="1">
      <c r="A72" s="2" t="s">
        <v>43</v>
      </c>
      <c r="B72" s="3" t="s">
        <v>19</v>
      </c>
      <c r="C72" s="2" t="s">
        <v>16</v>
      </c>
      <c r="D72" s="2" t="s">
        <v>22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 ht="29" thickBot="1">
      <c r="A73" s="2" t="s">
        <v>43</v>
      </c>
      <c r="B73" s="3" t="s">
        <v>20</v>
      </c>
      <c r="C73" s="2" t="s">
        <v>16</v>
      </c>
      <c r="D73" s="2" t="s">
        <v>22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2"/>
      <c r="K73" s="3">
        <v>0</v>
      </c>
      <c r="L73" s="3">
        <v>3.5</v>
      </c>
      <c r="M73" s="3">
        <v>674774.09</v>
      </c>
      <c r="N73" s="3">
        <v>141917.59</v>
      </c>
    </row>
    <row r="74" spans="1:14" ht="29" thickBot="1">
      <c r="A74" s="2" t="s">
        <v>44</v>
      </c>
      <c r="B74" s="3" t="s">
        <v>15</v>
      </c>
      <c r="C74" s="2" t="s">
        <v>16</v>
      </c>
      <c r="D74" s="2" t="s">
        <v>17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 ht="29" thickBot="1">
      <c r="A75" s="2" t="s">
        <v>44</v>
      </c>
      <c r="B75" s="3" t="s">
        <v>18</v>
      </c>
      <c r="C75" s="2" t="s">
        <v>16</v>
      </c>
      <c r="D75" s="2" t="s">
        <v>17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 ht="29" thickBot="1">
      <c r="A76" s="2" t="s">
        <v>44</v>
      </c>
      <c r="B76" s="3" t="s">
        <v>19</v>
      </c>
      <c r="C76" s="2" t="s">
        <v>16</v>
      </c>
      <c r="D76" s="2" t="s">
        <v>17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 ht="29" thickBot="1">
      <c r="A77" s="2" t="s">
        <v>44</v>
      </c>
      <c r="B77" s="3" t="s">
        <v>20</v>
      </c>
      <c r="C77" s="2" t="s">
        <v>16</v>
      </c>
      <c r="D77" s="2" t="s">
        <v>17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 ht="29" thickBot="1">
      <c r="A78" s="2" t="s">
        <v>45</v>
      </c>
      <c r="B78" s="3" t="s">
        <v>15</v>
      </c>
      <c r="C78" s="2" t="s">
        <v>28</v>
      </c>
      <c r="D78" s="2" t="s">
        <v>22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 ht="29" thickBot="1">
      <c r="A79" s="2" t="s">
        <v>45</v>
      </c>
      <c r="B79" s="3" t="s">
        <v>18</v>
      </c>
      <c r="C79" s="2" t="s">
        <v>28</v>
      </c>
      <c r="D79" s="2" t="s">
        <v>22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 ht="29" thickBot="1">
      <c r="A80" s="2" t="s">
        <v>45</v>
      </c>
      <c r="B80" s="3" t="s">
        <v>19</v>
      </c>
      <c r="C80" s="2" t="s">
        <v>28</v>
      </c>
      <c r="D80" s="2" t="s">
        <v>22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 ht="29" thickBot="1">
      <c r="A81" s="2" t="s">
        <v>45</v>
      </c>
      <c r="B81" s="3" t="s">
        <v>20</v>
      </c>
      <c r="C81" s="2" t="s">
        <v>28</v>
      </c>
      <c r="D81" s="2" t="s">
        <v>22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 ht="29" thickBot="1">
      <c r="A82" s="2" t="s">
        <v>46</v>
      </c>
      <c r="B82" s="3" t="s">
        <v>15</v>
      </c>
      <c r="C82" s="2" t="s">
        <v>31</v>
      </c>
      <c r="D82" s="2" t="s">
        <v>32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 ht="29" thickBot="1">
      <c r="A83" s="2" t="s">
        <v>46</v>
      </c>
      <c r="B83" s="3" t="s">
        <v>18</v>
      </c>
      <c r="C83" s="2" t="s">
        <v>31</v>
      </c>
      <c r="D83" s="2" t="s">
        <v>32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 ht="29" thickBot="1">
      <c r="A84" s="2" t="s">
        <v>46</v>
      </c>
      <c r="B84" s="3" t="s">
        <v>19</v>
      </c>
      <c r="C84" s="2" t="s">
        <v>31</v>
      </c>
      <c r="D84" s="2" t="s">
        <v>32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 ht="29" thickBot="1">
      <c r="A85" s="2" t="s">
        <v>46</v>
      </c>
      <c r="B85" s="3" t="s">
        <v>20</v>
      </c>
      <c r="C85" s="2" t="s">
        <v>31</v>
      </c>
      <c r="D85" s="2" t="s">
        <v>32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 ht="29" thickBot="1">
      <c r="A86" s="2" t="s">
        <v>47</v>
      </c>
      <c r="B86" s="3" t="s">
        <v>15</v>
      </c>
      <c r="C86" s="2" t="s">
        <v>31</v>
      </c>
      <c r="D86" s="2" t="s">
        <v>22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 ht="29" thickBot="1">
      <c r="A87" s="2" t="s">
        <v>47</v>
      </c>
      <c r="B87" s="3" t="s">
        <v>18</v>
      </c>
      <c r="C87" s="2" t="s">
        <v>31</v>
      </c>
      <c r="D87" s="2" t="s">
        <v>22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2"/>
      <c r="M87" s="3">
        <v>611766.72</v>
      </c>
      <c r="N87" s="3">
        <v>88275.61</v>
      </c>
    </row>
    <row r="88" spans="1:14" ht="29" thickBot="1">
      <c r="A88" s="2" t="s">
        <v>47</v>
      </c>
      <c r="B88" s="3" t="s">
        <v>19</v>
      </c>
      <c r="C88" s="2" t="s">
        <v>31</v>
      </c>
      <c r="D88" s="2" t="s">
        <v>22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 ht="29" thickBot="1">
      <c r="A89" s="2" t="s">
        <v>47</v>
      </c>
      <c r="B89" s="3" t="s">
        <v>20</v>
      </c>
      <c r="C89" s="2" t="s">
        <v>31</v>
      </c>
      <c r="D89" s="2" t="s">
        <v>22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 ht="29" thickBot="1">
      <c r="A90" s="2" t="s">
        <v>48</v>
      </c>
      <c r="B90" s="3" t="s">
        <v>15</v>
      </c>
      <c r="C90" s="2" t="s">
        <v>28</v>
      </c>
      <c r="D90" s="2" t="s">
        <v>32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 ht="29" thickBot="1">
      <c r="A91" s="2" t="s">
        <v>48</v>
      </c>
      <c r="B91" s="3" t="s">
        <v>18</v>
      </c>
      <c r="C91" s="2" t="s">
        <v>28</v>
      </c>
      <c r="D91" s="2" t="s">
        <v>32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 ht="29" thickBot="1">
      <c r="A92" s="2" t="s">
        <v>48</v>
      </c>
      <c r="B92" s="3" t="s">
        <v>19</v>
      </c>
      <c r="C92" s="2" t="s">
        <v>28</v>
      </c>
      <c r="D92" s="2" t="s">
        <v>32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 ht="29" thickBot="1">
      <c r="A93" s="2" t="s">
        <v>48</v>
      </c>
      <c r="B93" s="3" t="s">
        <v>20</v>
      </c>
      <c r="C93" s="2" t="s">
        <v>28</v>
      </c>
      <c r="D93" s="2" t="s">
        <v>32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 ht="29" thickBot="1">
      <c r="A94" s="2" t="s">
        <v>49</v>
      </c>
      <c r="B94" s="3" t="s">
        <v>15</v>
      </c>
      <c r="C94" s="2" t="s">
        <v>31</v>
      </c>
      <c r="D94" s="2" t="s">
        <v>17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 ht="29" thickBot="1">
      <c r="A95" s="2" t="s">
        <v>49</v>
      </c>
      <c r="B95" s="3" t="s">
        <v>18</v>
      </c>
      <c r="C95" s="2" t="s">
        <v>31</v>
      </c>
      <c r="D95" s="2" t="s">
        <v>17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 ht="29" thickBot="1">
      <c r="A96" s="2" t="s">
        <v>49</v>
      </c>
      <c r="B96" s="3" t="s">
        <v>19</v>
      </c>
      <c r="C96" s="2" t="s">
        <v>31</v>
      </c>
      <c r="D96" s="2" t="s">
        <v>17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 ht="29" thickBot="1">
      <c r="A97" s="2" t="s">
        <v>49</v>
      </c>
      <c r="B97" s="3" t="s">
        <v>20</v>
      </c>
      <c r="C97" s="2" t="s">
        <v>31</v>
      </c>
      <c r="D97" s="2" t="s">
        <v>17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 ht="29" thickBot="1">
      <c r="A98" s="2" t="s">
        <v>50</v>
      </c>
      <c r="B98" s="3" t="s">
        <v>15</v>
      </c>
      <c r="C98" s="2" t="s">
        <v>31</v>
      </c>
      <c r="D98" s="2" t="s">
        <v>32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 ht="29" thickBot="1">
      <c r="A99" s="2" t="s">
        <v>50</v>
      </c>
      <c r="B99" s="3" t="s">
        <v>18</v>
      </c>
      <c r="C99" s="2" t="s">
        <v>31</v>
      </c>
      <c r="D99" s="2" t="s">
        <v>32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 ht="29" thickBot="1">
      <c r="A100" s="2" t="s">
        <v>50</v>
      </c>
      <c r="B100" s="3" t="s">
        <v>19</v>
      </c>
      <c r="C100" s="2" t="s">
        <v>31</v>
      </c>
      <c r="D100" s="2" t="s">
        <v>32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2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 ht="29" thickBot="1">
      <c r="A101" s="2" t="s">
        <v>50</v>
      </c>
      <c r="B101" s="3" t="s">
        <v>20</v>
      </c>
      <c r="C101" s="2" t="s">
        <v>31</v>
      </c>
      <c r="D101" s="2" t="s">
        <v>32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 ht="29" thickBot="1">
      <c r="A102" s="2" t="s">
        <v>51</v>
      </c>
      <c r="B102" s="3" t="s">
        <v>15</v>
      </c>
      <c r="C102" s="2" t="s">
        <v>16</v>
      </c>
      <c r="D102" s="2" t="s">
        <v>32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 ht="29" thickBot="1">
      <c r="A103" s="2" t="s">
        <v>51</v>
      </c>
      <c r="B103" s="3" t="s">
        <v>18</v>
      </c>
      <c r="C103" s="2" t="s">
        <v>16</v>
      </c>
      <c r="D103" s="2" t="s">
        <v>32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 ht="29" thickBot="1">
      <c r="A104" s="2" t="s">
        <v>51</v>
      </c>
      <c r="B104" s="3" t="s">
        <v>19</v>
      </c>
      <c r="C104" s="2" t="s">
        <v>16</v>
      </c>
      <c r="D104" s="2" t="s">
        <v>32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 ht="29" thickBot="1">
      <c r="A105" s="2" t="s">
        <v>51</v>
      </c>
      <c r="B105" s="3" t="s">
        <v>20</v>
      </c>
      <c r="C105" s="2" t="s">
        <v>16</v>
      </c>
      <c r="D105" s="2" t="s">
        <v>32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 ht="29" thickBot="1">
      <c r="A106" s="2" t="s">
        <v>52</v>
      </c>
      <c r="B106" s="3" t="s">
        <v>15</v>
      </c>
      <c r="C106" s="2" t="s">
        <v>31</v>
      </c>
      <c r="D106" s="2" t="s">
        <v>22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 ht="29" thickBot="1">
      <c r="A107" s="2" t="s">
        <v>52</v>
      </c>
      <c r="B107" s="3" t="s">
        <v>18</v>
      </c>
      <c r="C107" s="2" t="s">
        <v>31</v>
      </c>
      <c r="D107" s="2" t="s">
        <v>22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 ht="29" thickBot="1">
      <c r="A108" s="2" t="s">
        <v>52</v>
      </c>
      <c r="B108" s="3" t="s">
        <v>19</v>
      </c>
      <c r="C108" s="2" t="s">
        <v>31</v>
      </c>
      <c r="D108" s="2" t="s">
        <v>22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 ht="29" thickBot="1">
      <c r="A109" s="2" t="s">
        <v>52</v>
      </c>
      <c r="B109" s="3" t="s">
        <v>20</v>
      </c>
      <c r="C109" s="2" t="s">
        <v>31</v>
      </c>
      <c r="D109" s="2" t="s">
        <v>22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 ht="29" thickBot="1">
      <c r="A110" s="2" t="s">
        <v>53</v>
      </c>
      <c r="B110" s="3" t="s">
        <v>15</v>
      </c>
      <c r="C110" s="2" t="s">
        <v>16</v>
      </c>
      <c r="D110" s="2" t="s">
        <v>32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 ht="29" thickBot="1">
      <c r="A111" s="2" t="s">
        <v>53</v>
      </c>
      <c r="B111" s="3" t="s">
        <v>18</v>
      </c>
      <c r="C111" s="2" t="s">
        <v>16</v>
      </c>
      <c r="D111" s="2" t="s">
        <v>32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 ht="29" thickBot="1">
      <c r="A112" s="2" t="s">
        <v>53</v>
      </c>
      <c r="B112" s="3" t="s">
        <v>19</v>
      </c>
      <c r="C112" s="2" t="s">
        <v>16</v>
      </c>
      <c r="D112" s="2" t="s">
        <v>32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 ht="29" thickBot="1">
      <c r="A113" s="2" t="s">
        <v>53</v>
      </c>
      <c r="B113" s="3" t="s">
        <v>20</v>
      </c>
      <c r="C113" s="2" t="s">
        <v>16</v>
      </c>
      <c r="D113" s="2" t="s">
        <v>32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 ht="29" thickBot="1">
      <c r="A114" s="2" t="s">
        <v>54</v>
      </c>
      <c r="B114" s="3" t="s">
        <v>15</v>
      </c>
      <c r="C114" s="2" t="s">
        <v>31</v>
      </c>
      <c r="D114" s="2" t="s">
        <v>32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 ht="29" thickBot="1">
      <c r="A115" s="2" t="s">
        <v>54</v>
      </c>
      <c r="B115" s="3" t="s">
        <v>18</v>
      </c>
      <c r="C115" s="2" t="s">
        <v>31</v>
      </c>
      <c r="D115" s="2" t="s">
        <v>32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 ht="29" thickBot="1">
      <c r="A116" s="2" t="s">
        <v>54</v>
      </c>
      <c r="B116" s="3" t="s">
        <v>19</v>
      </c>
      <c r="C116" s="2" t="s">
        <v>31</v>
      </c>
      <c r="D116" s="2" t="s">
        <v>32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 ht="29" thickBot="1">
      <c r="A117" s="2" t="s">
        <v>54</v>
      </c>
      <c r="B117" s="3" t="s">
        <v>20</v>
      </c>
      <c r="C117" s="2" t="s">
        <v>31</v>
      </c>
      <c r="D117" s="2" t="s">
        <v>32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 ht="29" thickBot="1">
      <c r="A118" s="2" t="s">
        <v>55</v>
      </c>
      <c r="B118" s="3" t="s">
        <v>15</v>
      </c>
      <c r="C118" s="2" t="s">
        <v>31</v>
      </c>
      <c r="D118" s="2" t="s">
        <v>17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 ht="29" thickBot="1">
      <c r="A119" s="2" t="s">
        <v>55</v>
      </c>
      <c r="B119" s="3" t="s">
        <v>18</v>
      </c>
      <c r="C119" s="2" t="s">
        <v>31</v>
      </c>
      <c r="D119" s="2" t="s">
        <v>17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 ht="29" thickBot="1">
      <c r="A120" s="2" t="s">
        <v>55</v>
      </c>
      <c r="B120" s="3" t="s">
        <v>19</v>
      </c>
      <c r="C120" s="2" t="s">
        <v>31</v>
      </c>
      <c r="D120" s="2" t="s">
        <v>17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 ht="29" thickBot="1">
      <c r="A121" s="2" t="s">
        <v>55</v>
      </c>
      <c r="B121" s="3" t="s">
        <v>20</v>
      </c>
      <c r="C121" s="2" t="s">
        <v>31</v>
      </c>
      <c r="D121" s="2" t="s">
        <v>17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 ht="29" thickBot="1">
      <c r="A122" s="2" t="s">
        <v>56</v>
      </c>
      <c r="B122" s="3" t="s">
        <v>15</v>
      </c>
      <c r="C122" s="2" t="s">
        <v>24</v>
      </c>
      <c r="D122" s="2" t="s">
        <v>22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 ht="29" thickBot="1">
      <c r="A123" s="2" t="s">
        <v>56</v>
      </c>
      <c r="B123" s="3" t="s">
        <v>18</v>
      </c>
      <c r="C123" s="2" t="s">
        <v>24</v>
      </c>
      <c r="D123" s="2" t="s">
        <v>22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 ht="29" thickBot="1">
      <c r="A124" s="2" t="s">
        <v>56</v>
      </c>
      <c r="B124" s="3" t="s">
        <v>19</v>
      </c>
      <c r="C124" s="2" t="s">
        <v>24</v>
      </c>
      <c r="D124" s="2" t="s">
        <v>22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 ht="29" thickBot="1">
      <c r="A125" s="2" t="s">
        <v>56</v>
      </c>
      <c r="B125" s="3" t="s">
        <v>20</v>
      </c>
      <c r="C125" s="2" t="s">
        <v>24</v>
      </c>
      <c r="D125" s="2" t="s">
        <v>22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 ht="29" thickBot="1">
      <c r="A126" s="2" t="s">
        <v>57</v>
      </c>
      <c r="B126" s="3" t="s">
        <v>15</v>
      </c>
      <c r="C126" s="2" t="s">
        <v>28</v>
      </c>
      <c r="D126" s="2" t="s">
        <v>22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 ht="29" thickBot="1">
      <c r="A127" s="2" t="s">
        <v>57</v>
      </c>
      <c r="B127" s="3" t="s">
        <v>18</v>
      </c>
      <c r="C127" s="2" t="s">
        <v>28</v>
      </c>
      <c r="D127" s="2" t="s">
        <v>22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 ht="29" thickBot="1">
      <c r="A128" s="2" t="s">
        <v>57</v>
      </c>
      <c r="B128" s="3" t="s">
        <v>19</v>
      </c>
      <c r="C128" s="2" t="s">
        <v>28</v>
      </c>
      <c r="D128" s="2" t="s">
        <v>22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 ht="29" thickBot="1">
      <c r="A129" s="2" t="s">
        <v>57</v>
      </c>
      <c r="B129" s="3" t="s">
        <v>20</v>
      </c>
      <c r="C129" s="2" t="s">
        <v>28</v>
      </c>
      <c r="D129" s="2" t="s">
        <v>22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 ht="29" thickBot="1">
      <c r="A130" s="2" t="s">
        <v>58</v>
      </c>
      <c r="B130" s="3" t="s">
        <v>15</v>
      </c>
      <c r="C130" s="2" t="s">
        <v>16</v>
      </c>
      <c r="D130" s="2" t="s">
        <v>22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 ht="29" thickBot="1">
      <c r="A131" s="2" t="s">
        <v>58</v>
      </c>
      <c r="B131" s="3" t="s">
        <v>18</v>
      </c>
      <c r="C131" s="2" t="s">
        <v>16</v>
      </c>
      <c r="D131" s="2" t="s">
        <v>22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 ht="29" thickBot="1">
      <c r="A132" s="2" t="s">
        <v>58</v>
      </c>
      <c r="B132" s="3" t="s">
        <v>19</v>
      </c>
      <c r="C132" s="2" t="s">
        <v>16</v>
      </c>
      <c r="D132" s="2" t="s">
        <v>22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 ht="29" thickBot="1">
      <c r="A133" s="2" t="s">
        <v>58</v>
      </c>
      <c r="B133" s="3" t="s">
        <v>20</v>
      </c>
      <c r="C133" s="2" t="s">
        <v>16</v>
      </c>
      <c r="D133" s="2" t="s">
        <v>22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 ht="29" thickBot="1">
      <c r="A134" s="2" t="s">
        <v>59</v>
      </c>
      <c r="B134" s="3" t="s">
        <v>15</v>
      </c>
      <c r="C134" s="2" t="s">
        <v>24</v>
      </c>
      <c r="D134" s="2" t="s">
        <v>22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 ht="29" thickBot="1">
      <c r="A135" s="2" t="s">
        <v>59</v>
      </c>
      <c r="B135" s="3" t="s">
        <v>18</v>
      </c>
      <c r="C135" s="2" t="s">
        <v>24</v>
      </c>
      <c r="D135" s="2" t="s">
        <v>22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2"/>
      <c r="M135" s="3">
        <v>400831.65</v>
      </c>
      <c r="N135" s="3">
        <v>70979.31</v>
      </c>
    </row>
    <row r="136" spans="1:14" ht="29" thickBot="1">
      <c r="A136" s="2" t="s">
        <v>59</v>
      </c>
      <c r="B136" s="3" t="s">
        <v>19</v>
      </c>
      <c r="C136" s="2" t="s">
        <v>24</v>
      </c>
      <c r="D136" s="2" t="s">
        <v>22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 ht="29" thickBot="1">
      <c r="A137" s="2" t="s">
        <v>59</v>
      </c>
      <c r="B137" s="3" t="s">
        <v>20</v>
      </c>
      <c r="C137" s="2" t="s">
        <v>24</v>
      </c>
      <c r="D137" s="2" t="s">
        <v>22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 ht="29" thickBot="1">
      <c r="A138" s="2" t="s">
        <v>60</v>
      </c>
      <c r="B138" s="3" t="s">
        <v>15</v>
      </c>
      <c r="C138" s="2" t="s">
        <v>28</v>
      </c>
      <c r="D138" s="2" t="s">
        <v>17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2"/>
      <c r="M138" s="3">
        <v>633638.03</v>
      </c>
      <c r="N138" s="3">
        <v>99402.01</v>
      </c>
    </row>
    <row r="139" spans="1:14" ht="29" thickBot="1">
      <c r="A139" s="2" t="s">
        <v>60</v>
      </c>
      <c r="B139" s="3" t="s">
        <v>18</v>
      </c>
      <c r="C139" s="2" t="s">
        <v>28</v>
      </c>
      <c r="D139" s="2" t="s">
        <v>17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 ht="29" thickBot="1">
      <c r="A140" s="2" t="s">
        <v>60</v>
      </c>
      <c r="B140" s="3" t="s">
        <v>19</v>
      </c>
      <c r="C140" s="2" t="s">
        <v>28</v>
      </c>
      <c r="D140" s="2" t="s">
        <v>17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 ht="29" thickBot="1">
      <c r="A141" s="2" t="s">
        <v>60</v>
      </c>
      <c r="B141" s="3" t="s">
        <v>20</v>
      </c>
      <c r="C141" s="2" t="s">
        <v>28</v>
      </c>
      <c r="D141" s="2" t="s">
        <v>17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 ht="29" thickBot="1">
      <c r="A142" s="2" t="s">
        <v>61</v>
      </c>
      <c r="B142" s="3" t="s">
        <v>15</v>
      </c>
      <c r="C142" s="2" t="s">
        <v>31</v>
      </c>
      <c r="D142" s="2" t="s">
        <v>22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 ht="29" thickBot="1">
      <c r="A143" s="2" t="s">
        <v>61</v>
      </c>
      <c r="B143" s="3" t="s">
        <v>18</v>
      </c>
      <c r="C143" s="2" t="s">
        <v>31</v>
      </c>
      <c r="D143" s="2" t="s">
        <v>22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 ht="29" thickBot="1">
      <c r="A144" s="2" t="s">
        <v>61</v>
      </c>
      <c r="B144" s="3" t="s">
        <v>19</v>
      </c>
      <c r="C144" s="2" t="s">
        <v>31</v>
      </c>
      <c r="D144" s="2" t="s">
        <v>22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 ht="29" thickBot="1">
      <c r="A145" s="2" t="s">
        <v>61</v>
      </c>
      <c r="B145" s="3" t="s">
        <v>20</v>
      </c>
      <c r="C145" s="2" t="s">
        <v>31</v>
      </c>
      <c r="D145" s="2" t="s">
        <v>22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 ht="29" thickBot="1">
      <c r="A146" s="2" t="s">
        <v>62</v>
      </c>
      <c r="B146" s="3" t="s">
        <v>15</v>
      </c>
      <c r="C146" s="2" t="s">
        <v>24</v>
      </c>
      <c r="D146" s="2" t="s">
        <v>17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 ht="29" thickBot="1">
      <c r="A147" s="2" t="s">
        <v>62</v>
      </c>
      <c r="B147" s="3" t="s">
        <v>18</v>
      </c>
      <c r="C147" s="2" t="s">
        <v>24</v>
      </c>
      <c r="D147" s="2" t="s">
        <v>17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 ht="29" thickBot="1">
      <c r="A148" s="2" t="s">
        <v>62</v>
      </c>
      <c r="B148" s="3" t="s">
        <v>19</v>
      </c>
      <c r="C148" s="2" t="s">
        <v>24</v>
      </c>
      <c r="D148" s="2" t="s">
        <v>17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 ht="29" thickBot="1">
      <c r="A149" s="2" t="s">
        <v>62</v>
      </c>
      <c r="B149" s="3" t="s">
        <v>20</v>
      </c>
      <c r="C149" s="2" t="s">
        <v>24</v>
      </c>
      <c r="D149" s="2" t="s">
        <v>17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 ht="29" thickBot="1">
      <c r="A150" s="2" t="s">
        <v>63</v>
      </c>
      <c r="B150" s="3" t="s">
        <v>15</v>
      </c>
      <c r="C150" s="2" t="s">
        <v>28</v>
      </c>
      <c r="D150" s="2" t="s">
        <v>32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 ht="29" thickBot="1">
      <c r="A151" s="2" t="s">
        <v>63</v>
      </c>
      <c r="B151" s="3" t="s">
        <v>18</v>
      </c>
      <c r="C151" s="2" t="s">
        <v>28</v>
      </c>
      <c r="D151" s="2" t="s">
        <v>32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 ht="29" thickBot="1">
      <c r="A152" s="2" t="s">
        <v>63</v>
      </c>
      <c r="B152" s="3" t="s">
        <v>19</v>
      </c>
      <c r="C152" s="2" t="s">
        <v>28</v>
      </c>
      <c r="D152" s="2" t="s">
        <v>32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 ht="29" thickBot="1">
      <c r="A153" s="2" t="s">
        <v>63</v>
      </c>
      <c r="B153" s="3" t="s">
        <v>20</v>
      </c>
      <c r="C153" s="2" t="s">
        <v>28</v>
      </c>
      <c r="D153" s="2" t="s">
        <v>32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 ht="29" thickBot="1">
      <c r="A154" s="2" t="s">
        <v>64</v>
      </c>
      <c r="B154" s="3" t="s">
        <v>15</v>
      </c>
      <c r="C154" s="2" t="s">
        <v>16</v>
      </c>
      <c r="D154" s="2" t="s">
        <v>22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 ht="29" thickBot="1">
      <c r="A155" s="2" t="s">
        <v>64</v>
      </c>
      <c r="B155" s="3" t="s">
        <v>18</v>
      </c>
      <c r="C155" s="2" t="s">
        <v>16</v>
      </c>
      <c r="D155" s="2" t="s">
        <v>22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 ht="29" thickBot="1">
      <c r="A156" s="2" t="s">
        <v>64</v>
      </c>
      <c r="B156" s="3" t="s">
        <v>19</v>
      </c>
      <c r="C156" s="2" t="s">
        <v>16</v>
      </c>
      <c r="D156" s="2" t="s">
        <v>22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 ht="29" thickBot="1">
      <c r="A157" s="2" t="s">
        <v>64</v>
      </c>
      <c r="B157" s="3" t="s">
        <v>20</v>
      </c>
      <c r="C157" s="2" t="s">
        <v>16</v>
      </c>
      <c r="D157" s="2" t="s">
        <v>22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 ht="29" thickBot="1">
      <c r="A158" s="2" t="s">
        <v>65</v>
      </c>
      <c r="B158" s="3" t="s">
        <v>15</v>
      </c>
      <c r="C158" s="2" t="s">
        <v>24</v>
      </c>
      <c r="D158" s="2" t="s">
        <v>32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 ht="29" thickBot="1">
      <c r="A159" s="2" t="s">
        <v>65</v>
      </c>
      <c r="B159" s="3" t="s">
        <v>18</v>
      </c>
      <c r="C159" s="2" t="s">
        <v>24</v>
      </c>
      <c r="D159" s="2" t="s">
        <v>32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 ht="29" thickBot="1">
      <c r="A160" s="2" t="s">
        <v>65</v>
      </c>
      <c r="B160" s="3" t="s">
        <v>19</v>
      </c>
      <c r="C160" s="2" t="s">
        <v>24</v>
      </c>
      <c r="D160" s="2" t="s">
        <v>32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 ht="29" thickBot="1">
      <c r="A161" s="2" t="s">
        <v>65</v>
      </c>
      <c r="B161" s="3" t="s">
        <v>20</v>
      </c>
      <c r="C161" s="2" t="s">
        <v>24</v>
      </c>
      <c r="D161" s="2" t="s">
        <v>32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 ht="29" thickBot="1">
      <c r="A162" s="2" t="s">
        <v>66</v>
      </c>
      <c r="B162" s="3" t="s">
        <v>15</v>
      </c>
      <c r="C162" s="2" t="s">
        <v>28</v>
      </c>
      <c r="D162" s="2" t="s">
        <v>22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 ht="29" thickBot="1">
      <c r="A163" s="2" t="s">
        <v>66</v>
      </c>
      <c r="B163" s="3" t="s">
        <v>18</v>
      </c>
      <c r="C163" s="2" t="s">
        <v>28</v>
      </c>
      <c r="D163" s="2" t="s">
        <v>22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 ht="29" thickBot="1">
      <c r="A164" s="2" t="s">
        <v>66</v>
      </c>
      <c r="B164" s="3" t="s">
        <v>19</v>
      </c>
      <c r="C164" s="2" t="s">
        <v>28</v>
      </c>
      <c r="D164" s="2" t="s">
        <v>22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2"/>
      <c r="K164" s="3">
        <v>0</v>
      </c>
      <c r="L164" s="3">
        <v>4.2</v>
      </c>
      <c r="M164" s="3">
        <v>677096.71</v>
      </c>
      <c r="N164" s="3">
        <v>97174.11</v>
      </c>
    </row>
    <row r="165" spans="1:14" ht="29" thickBot="1">
      <c r="A165" s="2" t="s">
        <v>66</v>
      </c>
      <c r="B165" s="3" t="s">
        <v>20</v>
      </c>
      <c r="C165" s="2" t="s">
        <v>28</v>
      </c>
      <c r="D165" s="2" t="s">
        <v>22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 ht="29" thickBot="1">
      <c r="A166" s="2" t="s">
        <v>67</v>
      </c>
      <c r="B166" s="3" t="s">
        <v>15</v>
      </c>
      <c r="C166" s="2" t="s">
        <v>24</v>
      </c>
      <c r="D166" s="2" t="s">
        <v>32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 ht="29" thickBot="1">
      <c r="A167" s="2" t="s">
        <v>67</v>
      </c>
      <c r="B167" s="3" t="s">
        <v>18</v>
      </c>
      <c r="C167" s="2" t="s">
        <v>24</v>
      </c>
      <c r="D167" s="2" t="s">
        <v>32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 ht="29" thickBot="1">
      <c r="A168" s="2" t="s">
        <v>67</v>
      </c>
      <c r="B168" s="3" t="s">
        <v>19</v>
      </c>
      <c r="C168" s="2" t="s">
        <v>24</v>
      </c>
      <c r="D168" s="2" t="s">
        <v>32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 ht="29" thickBot="1">
      <c r="A169" s="2" t="s">
        <v>67</v>
      </c>
      <c r="B169" s="3" t="s">
        <v>20</v>
      </c>
      <c r="C169" s="2" t="s">
        <v>24</v>
      </c>
      <c r="D169" s="2" t="s">
        <v>32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 ht="29" thickBot="1">
      <c r="A170" s="2" t="s">
        <v>68</v>
      </c>
      <c r="B170" s="3" t="s">
        <v>15</v>
      </c>
      <c r="C170" s="2" t="s">
        <v>16</v>
      </c>
      <c r="D170" s="2" t="s">
        <v>17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 ht="29" thickBot="1">
      <c r="A171" s="2" t="s">
        <v>68</v>
      </c>
      <c r="B171" s="3" t="s">
        <v>18</v>
      </c>
      <c r="C171" s="2" t="s">
        <v>16</v>
      </c>
      <c r="D171" s="2" t="s">
        <v>17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 ht="29" thickBot="1">
      <c r="A172" s="2" t="s">
        <v>68</v>
      </c>
      <c r="B172" s="3" t="s">
        <v>19</v>
      </c>
      <c r="C172" s="2" t="s">
        <v>16</v>
      </c>
      <c r="D172" s="2" t="s">
        <v>17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 ht="29" thickBot="1">
      <c r="A173" s="2" t="s">
        <v>68</v>
      </c>
      <c r="B173" s="3" t="s">
        <v>20</v>
      </c>
      <c r="C173" s="2" t="s">
        <v>16</v>
      </c>
      <c r="D173" s="2" t="s">
        <v>17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 ht="29" thickBot="1">
      <c r="A174" s="2" t="s">
        <v>69</v>
      </c>
      <c r="B174" s="3" t="s">
        <v>15</v>
      </c>
      <c r="C174" s="2" t="s">
        <v>16</v>
      </c>
      <c r="D174" s="2" t="s">
        <v>17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 ht="29" thickBot="1">
      <c r="A175" s="2" t="s">
        <v>69</v>
      </c>
      <c r="B175" s="3" t="s">
        <v>18</v>
      </c>
      <c r="C175" s="2" t="s">
        <v>16</v>
      </c>
      <c r="D175" s="2" t="s">
        <v>17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 ht="29" thickBot="1">
      <c r="A176" s="2" t="s">
        <v>69</v>
      </c>
      <c r="B176" s="3" t="s">
        <v>19</v>
      </c>
      <c r="C176" s="2" t="s">
        <v>16</v>
      </c>
      <c r="D176" s="2" t="s">
        <v>17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 ht="29" thickBot="1">
      <c r="A177" s="2" t="s">
        <v>69</v>
      </c>
      <c r="B177" s="3" t="s">
        <v>20</v>
      </c>
      <c r="C177" s="2" t="s">
        <v>16</v>
      </c>
      <c r="D177" s="2" t="s">
        <v>17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 ht="29" thickBot="1">
      <c r="A178" s="2" t="s">
        <v>70</v>
      </c>
      <c r="B178" s="3" t="s">
        <v>15</v>
      </c>
      <c r="C178" s="2" t="s">
        <v>31</v>
      </c>
      <c r="D178" s="2" t="s">
        <v>25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 ht="29" thickBot="1">
      <c r="A179" s="2" t="s">
        <v>70</v>
      </c>
      <c r="B179" s="3" t="s">
        <v>18</v>
      </c>
      <c r="C179" s="2" t="s">
        <v>31</v>
      </c>
      <c r="D179" s="2" t="s">
        <v>25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 ht="29" thickBot="1">
      <c r="A180" s="2" t="s">
        <v>70</v>
      </c>
      <c r="B180" s="3" t="s">
        <v>19</v>
      </c>
      <c r="C180" s="2" t="s">
        <v>31</v>
      </c>
      <c r="D180" s="2" t="s">
        <v>25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 ht="29" thickBot="1">
      <c r="A181" s="2" t="s">
        <v>70</v>
      </c>
      <c r="B181" s="3" t="s">
        <v>20</v>
      </c>
      <c r="C181" s="2" t="s">
        <v>31</v>
      </c>
      <c r="D181" s="2" t="s">
        <v>25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 ht="29" thickBot="1">
      <c r="A182" s="2" t="s">
        <v>71</v>
      </c>
      <c r="B182" s="3" t="s">
        <v>15</v>
      </c>
      <c r="C182" s="2" t="s">
        <v>31</v>
      </c>
      <c r="D182" s="2" t="s">
        <v>17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 ht="29" thickBot="1">
      <c r="A183" s="2" t="s">
        <v>71</v>
      </c>
      <c r="B183" s="3" t="s">
        <v>18</v>
      </c>
      <c r="C183" s="2" t="s">
        <v>31</v>
      </c>
      <c r="D183" s="2" t="s">
        <v>17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 ht="29" thickBot="1">
      <c r="A184" s="2" t="s">
        <v>71</v>
      </c>
      <c r="B184" s="3" t="s">
        <v>19</v>
      </c>
      <c r="C184" s="2" t="s">
        <v>31</v>
      </c>
      <c r="D184" s="2" t="s">
        <v>17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 ht="29" thickBot="1">
      <c r="A185" s="2" t="s">
        <v>71</v>
      </c>
      <c r="B185" s="3" t="s">
        <v>20</v>
      </c>
      <c r="C185" s="2" t="s">
        <v>31</v>
      </c>
      <c r="D185" s="2" t="s">
        <v>17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 ht="29" thickBot="1">
      <c r="A186" s="2" t="s">
        <v>72</v>
      </c>
      <c r="B186" s="3" t="s">
        <v>15</v>
      </c>
      <c r="C186" s="2" t="s">
        <v>24</v>
      </c>
      <c r="D186" s="2" t="s">
        <v>22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 ht="29" thickBot="1">
      <c r="A187" s="2" t="s">
        <v>72</v>
      </c>
      <c r="B187" s="3" t="s">
        <v>18</v>
      </c>
      <c r="C187" s="2" t="s">
        <v>24</v>
      </c>
      <c r="D187" s="2" t="s">
        <v>22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 ht="29" thickBot="1">
      <c r="A188" s="2" t="s">
        <v>72</v>
      </c>
      <c r="B188" s="3" t="s">
        <v>19</v>
      </c>
      <c r="C188" s="2" t="s">
        <v>24</v>
      </c>
      <c r="D188" s="2" t="s">
        <v>22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 ht="29" thickBot="1">
      <c r="A189" s="2" t="s">
        <v>72</v>
      </c>
      <c r="B189" s="3" t="s">
        <v>20</v>
      </c>
      <c r="C189" s="2" t="s">
        <v>24</v>
      </c>
      <c r="D189" s="2" t="s">
        <v>22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 ht="29" thickBot="1">
      <c r="A190" s="2" t="s">
        <v>73</v>
      </c>
      <c r="B190" s="3" t="s">
        <v>15</v>
      </c>
      <c r="C190" s="2" t="s">
        <v>16</v>
      </c>
      <c r="D190" s="2" t="s">
        <v>22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 ht="29" thickBot="1">
      <c r="A191" s="2" t="s">
        <v>73</v>
      </c>
      <c r="B191" s="3" t="s">
        <v>18</v>
      </c>
      <c r="C191" s="2" t="s">
        <v>16</v>
      </c>
      <c r="D191" s="2" t="s">
        <v>22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 ht="29" thickBot="1">
      <c r="A192" s="2" t="s">
        <v>73</v>
      </c>
      <c r="B192" s="3" t="s">
        <v>19</v>
      </c>
      <c r="C192" s="2" t="s">
        <v>16</v>
      </c>
      <c r="D192" s="2" t="s">
        <v>22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 ht="29" thickBot="1">
      <c r="A193" s="2" t="s">
        <v>73</v>
      </c>
      <c r="B193" s="3" t="s">
        <v>20</v>
      </c>
      <c r="C193" s="2" t="s">
        <v>16</v>
      </c>
      <c r="D193" s="2" t="s">
        <v>22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 ht="29" thickBot="1">
      <c r="A194" s="2" t="s">
        <v>74</v>
      </c>
      <c r="B194" s="3" t="s">
        <v>15</v>
      </c>
      <c r="C194" s="2" t="s">
        <v>31</v>
      </c>
      <c r="D194" s="2" t="s">
        <v>17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 ht="29" thickBot="1">
      <c r="A195" s="2" t="s">
        <v>74</v>
      </c>
      <c r="B195" s="3" t="s">
        <v>18</v>
      </c>
      <c r="C195" s="2" t="s">
        <v>31</v>
      </c>
      <c r="D195" s="2" t="s">
        <v>17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 ht="29" thickBot="1">
      <c r="A196" s="2" t="s">
        <v>74</v>
      </c>
      <c r="B196" s="3" t="s">
        <v>19</v>
      </c>
      <c r="C196" s="2" t="s">
        <v>31</v>
      </c>
      <c r="D196" s="2" t="s">
        <v>17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 ht="29" thickBot="1">
      <c r="A197" s="2" t="s">
        <v>74</v>
      </c>
      <c r="B197" s="3" t="s">
        <v>20</v>
      </c>
      <c r="C197" s="2" t="s">
        <v>31</v>
      </c>
      <c r="D197" s="2" t="s">
        <v>17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2"/>
      <c r="M197" s="3">
        <v>449465.06</v>
      </c>
      <c r="N197" s="3">
        <v>65694.78</v>
      </c>
    </row>
    <row r="198" spans="1:14" ht="29" thickBot="1">
      <c r="A198" s="2" t="s">
        <v>75</v>
      </c>
      <c r="B198" s="3" t="s">
        <v>15</v>
      </c>
      <c r="C198" s="2" t="s">
        <v>24</v>
      </c>
      <c r="D198" s="2" t="s">
        <v>17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 ht="29" thickBot="1">
      <c r="A199" s="2" t="s">
        <v>75</v>
      </c>
      <c r="B199" s="3" t="s">
        <v>18</v>
      </c>
      <c r="C199" s="2" t="s">
        <v>24</v>
      </c>
      <c r="D199" s="2" t="s">
        <v>17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 ht="29" thickBot="1">
      <c r="A200" s="2" t="s">
        <v>75</v>
      </c>
      <c r="B200" s="3" t="s">
        <v>19</v>
      </c>
      <c r="C200" s="2" t="s">
        <v>24</v>
      </c>
      <c r="D200" s="2" t="s">
        <v>17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 ht="29" thickBot="1">
      <c r="A201" s="2" t="s">
        <v>75</v>
      </c>
      <c r="B201" s="3" t="s">
        <v>20</v>
      </c>
      <c r="C201" s="2" t="s">
        <v>24</v>
      </c>
      <c r="D201" s="2" t="s">
        <v>17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 ht="29" thickBot="1">
      <c r="A202" s="2" t="s">
        <v>76</v>
      </c>
      <c r="B202" s="3" t="s">
        <v>15</v>
      </c>
      <c r="C202" s="2" t="s">
        <v>16</v>
      </c>
      <c r="D202" s="2" t="s">
        <v>25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 ht="29" thickBot="1">
      <c r="A203" s="2" t="s">
        <v>76</v>
      </c>
      <c r="B203" s="3" t="s">
        <v>18</v>
      </c>
      <c r="C203" s="2" t="s">
        <v>16</v>
      </c>
      <c r="D203" s="2" t="s">
        <v>25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 ht="29" thickBot="1">
      <c r="A204" s="2" t="s">
        <v>76</v>
      </c>
      <c r="B204" s="3" t="s">
        <v>19</v>
      </c>
      <c r="C204" s="2" t="s">
        <v>16</v>
      </c>
      <c r="D204" s="2" t="s">
        <v>25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 ht="29" thickBot="1">
      <c r="A205" s="2" t="s">
        <v>76</v>
      </c>
      <c r="B205" s="3" t="s">
        <v>20</v>
      </c>
      <c r="C205" s="2" t="s">
        <v>16</v>
      </c>
      <c r="D205" s="2" t="s">
        <v>25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 ht="29" thickBot="1">
      <c r="A206" s="2" t="s">
        <v>77</v>
      </c>
      <c r="B206" s="3" t="s">
        <v>15</v>
      </c>
      <c r="C206" s="2" t="s">
        <v>16</v>
      </c>
      <c r="D206" s="2" t="s">
        <v>32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 ht="29" thickBot="1">
      <c r="A207" s="2" t="s">
        <v>77</v>
      </c>
      <c r="B207" s="3" t="s">
        <v>18</v>
      </c>
      <c r="C207" s="2" t="s">
        <v>16</v>
      </c>
      <c r="D207" s="2" t="s">
        <v>32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 ht="29" thickBot="1">
      <c r="A208" s="2" t="s">
        <v>77</v>
      </c>
      <c r="B208" s="3" t="s">
        <v>19</v>
      </c>
      <c r="C208" s="2" t="s">
        <v>16</v>
      </c>
      <c r="D208" s="2" t="s">
        <v>32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 ht="29" thickBot="1">
      <c r="A209" s="2" t="s">
        <v>77</v>
      </c>
      <c r="B209" s="3" t="s">
        <v>20</v>
      </c>
      <c r="C209" s="2" t="s">
        <v>16</v>
      </c>
      <c r="D209" s="2" t="s">
        <v>32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 ht="29" thickBot="1">
      <c r="A210" s="2" t="s">
        <v>78</v>
      </c>
      <c r="B210" s="3" t="s">
        <v>15</v>
      </c>
      <c r="C210" s="2" t="s">
        <v>16</v>
      </c>
      <c r="D210" s="2" t="s">
        <v>22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 ht="29" thickBot="1">
      <c r="A211" s="2" t="s">
        <v>78</v>
      </c>
      <c r="B211" s="3" t="s">
        <v>18</v>
      </c>
      <c r="C211" s="2" t="s">
        <v>16</v>
      </c>
      <c r="D211" s="2" t="s">
        <v>22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 ht="29" thickBot="1">
      <c r="A212" s="2" t="s">
        <v>78</v>
      </c>
      <c r="B212" s="3" t="s">
        <v>19</v>
      </c>
      <c r="C212" s="2" t="s">
        <v>16</v>
      </c>
      <c r="D212" s="2" t="s">
        <v>22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 ht="29" thickBot="1">
      <c r="A213" s="2" t="s">
        <v>78</v>
      </c>
      <c r="B213" s="3" t="s">
        <v>20</v>
      </c>
      <c r="C213" s="2" t="s">
        <v>16</v>
      </c>
      <c r="D213" s="2" t="s">
        <v>22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 ht="29" thickBot="1">
      <c r="A214" s="2" t="s">
        <v>79</v>
      </c>
      <c r="B214" s="3" t="s">
        <v>15</v>
      </c>
      <c r="C214" s="2" t="s">
        <v>31</v>
      </c>
      <c r="D214" s="2" t="s">
        <v>17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 ht="29" thickBot="1">
      <c r="A215" s="2" t="s">
        <v>79</v>
      </c>
      <c r="B215" s="3" t="s">
        <v>18</v>
      </c>
      <c r="C215" s="2" t="s">
        <v>31</v>
      </c>
      <c r="D215" s="2" t="s">
        <v>17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 ht="29" thickBot="1">
      <c r="A216" s="2" t="s">
        <v>79</v>
      </c>
      <c r="B216" s="3" t="s">
        <v>19</v>
      </c>
      <c r="C216" s="2" t="s">
        <v>31</v>
      </c>
      <c r="D216" s="2" t="s">
        <v>17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 ht="29" thickBot="1">
      <c r="A217" s="2" t="s">
        <v>79</v>
      </c>
      <c r="B217" s="3" t="s">
        <v>20</v>
      </c>
      <c r="C217" s="2" t="s">
        <v>31</v>
      </c>
      <c r="D217" s="2" t="s">
        <v>17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 ht="29" thickBot="1">
      <c r="A218" s="2" t="s">
        <v>80</v>
      </c>
      <c r="B218" s="3" t="s">
        <v>15</v>
      </c>
      <c r="C218" s="2" t="s">
        <v>24</v>
      </c>
      <c r="D218" s="2" t="s">
        <v>25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 ht="29" thickBot="1">
      <c r="A219" s="2" t="s">
        <v>80</v>
      </c>
      <c r="B219" s="3" t="s">
        <v>18</v>
      </c>
      <c r="C219" s="2" t="s">
        <v>24</v>
      </c>
      <c r="D219" s="2" t="s">
        <v>25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 ht="29" thickBot="1">
      <c r="A220" s="2" t="s">
        <v>80</v>
      </c>
      <c r="B220" s="3" t="s">
        <v>19</v>
      </c>
      <c r="C220" s="2" t="s">
        <v>24</v>
      </c>
      <c r="D220" s="2" t="s">
        <v>25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 ht="29" thickBot="1">
      <c r="A221" s="2" t="s">
        <v>80</v>
      </c>
      <c r="B221" s="3" t="s">
        <v>20</v>
      </c>
      <c r="C221" s="2" t="s">
        <v>24</v>
      </c>
      <c r="D221" s="2" t="s">
        <v>25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 ht="29" thickBot="1">
      <c r="A222" s="2" t="s">
        <v>81</v>
      </c>
      <c r="B222" s="3" t="s">
        <v>15</v>
      </c>
      <c r="C222" s="2" t="s">
        <v>16</v>
      </c>
      <c r="D222" s="2" t="s">
        <v>22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 ht="29" thickBot="1">
      <c r="A223" s="2" t="s">
        <v>81</v>
      </c>
      <c r="B223" s="3" t="s">
        <v>18</v>
      </c>
      <c r="C223" s="2" t="s">
        <v>16</v>
      </c>
      <c r="D223" s="2" t="s">
        <v>22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 ht="29" thickBot="1">
      <c r="A224" s="2" t="s">
        <v>81</v>
      </c>
      <c r="B224" s="3" t="s">
        <v>19</v>
      </c>
      <c r="C224" s="2" t="s">
        <v>16</v>
      </c>
      <c r="D224" s="2" t="s">
        <v>22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 ht="29" thickBot="1">
      <c r="A225" s="2" t="s">
        <v>81</v>
      </c>
      <c r="B225" s="3" t="s">
        <v>20</v>
      </c>
      <c r="C225" s="2" t="s">
        <v>16</v>
      </c>
      <c r="D225" s="2" t="s">
        <v>22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 ht="29" thickBot="1">
      <c r="A226" s="2" t="s">
        <v>82</v>
      </c>
      <c r="B226" s="3" t="s">
        <v>15</v>
      </c>
      <c r="C226" s="2" t="s">
        <v>16</v>
      </c>
      <c r="D226" s="2" t="s">
        <v>32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 ht="29" thickBot="1">
      <c r="A227" s="2" t="s">
        <v>82</v>
      </c>
      <c r="B227" s="3" t="s">
        <v>18</v>
      </c>
      <c r="C227" s="2" t="s">
        <v>16</v>
      </c>
      <c r="D227" s="2" t="s">
        <v>32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 ht="29" thickBot="1">
      <c r="A228" s="2" t="s">
        <v>82</v>
      </c>
      <c r="B228" s="3" t="s">
        <v>19</v>
      </c>
      <c r="C228" s="2" t="s">
        <v>16</v>
      </c>
      <c r="D228" s="2" t="s">
        <v>32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 ht="29" thickBot="1">
      <c r="A229" s="2" t="s">
        <v>82</v>
      </c>
      <c r="B229" s="3" t="s">
        <v>20</v>
      </c>
      <c r="C229" s="2" t="s">
        <v>16</v>
      </c>
      <c r="D229" s="2" t="s">
        <v>32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2"/>
      <c r="M229" s="3">
        <v>529598.93999999994</v>
      </c>
      <c r="N229" s="3">
        <v>84334.33</v>
      </c>
    </row>
    <row r="230" spans="1:14" ht="29" thickBot="1">
      <c r="A230" s="2" t="s">
        <v>83</v>
      </c>
      <c r="B230" s="3" t="s">
        <v>15</v>
      </c>
      <c r="C230" s="2" t="s">
        <v>16</v>
      </c>
      <c r="D230" s="2" t="s">
        <v>22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 ht="29" thickBot="1">
      <c r="A231" s="2" t="s">
        <v>83</v>
      </c>
      <c r="B231" s="3" t="s">
        <v>18</v>
      </c>
      <c r="C231" s="2" t="s">
        <v>16</v>
      </c>
      <c r="D231" s="2" t="s">
        <v>22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 ht="29" thickBot="1">
      <c r="A232" s="2" t="s">
        <v>83</v>
      </c>
      <c r="B232" s="3" t="s">
        <v>19</v>
      </c>
      <c r="C232" s="2" t="s">
        <v>16</v>
      </c>
      <c r="D232" s="2" t="s">
        <v>22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 ht="29" thickBot="1">
      <c r="A233" s="2" t="s">
        <v>83</v>
      </c>
      <c r="B233" s="3" t="s">
        <v>20</v>
      </c>
      <c r="C233" s="2" t="s">
        <v>16</v>
      </c>
      <c r="D233" s="2" t="s">
        <v>22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2"/>
      <c r="K233" s="3">
        <v>0</v>
      </c>
      <c r="L233" s="3">
        <v>3.7</v>
      </c>
      <c r="M233" s="3">
        <v>647512.85</v>
      </c>
      <c r="N233" s="3">
        <v>153835.57</v>
      </c>
    </row>
    <row r="234" spans="1:14" ht="29" thickBot="1">
      <c r="A234" s="2" t="s">
        <v>84</v>
      </c>
      <c r="B234" s="3" t="s">
        <v>15</v>
      </c>
      <c r="C234" s="2" t="s">
        <v>31</v>
      </c>
      <c r="D234" s="2" t="s">
        <v>17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 ht="29" thickBot="1">
      <c r="A235" s="2" t="s">
        <v>84</v>
      </c>
      <c r="B235" s="3" t="s">
        <v>18</v>
      </c>
      <c r="C235" s="2" t="s">
        <v>31</v>
      </c>
      <c r="D235" s="2" t="s">
        <v>17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 ht="29" thickBot="1">
      <c r="A236" s="2" t="s">
        <v>84</v>
      </c>
      <c r="B236" s="3" t="s">
        <v>19</v>
      </c>
      <c r="C236" s="2" t="s">
        <v>31</v>
      </c>
      <c r="D236" s="2" t="s">
        <v>17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 ht="29" thickBot="1">
      <c r="A237" s="2" t="s">
        <v>84</v>
      </c>
      <c r="B237" s="3" t="s">
        <v>20</v>
      </c>
      <c r="C237" s="2" t="s">
        <v>31</v>
      </c>
      <c r="D237" s="2" t="s">
        <v>17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 ht="29" thickBot="1">
      <c r="A238" s="2" t="s">
        <v>85</v>
      </c>
      <c r="B238" s="3" t="s">
        <v>15</v>
      </c>
      <c r="C238" s="2" t="s">
        <v>31</v>
      </c>
      <c r="D238" s="2" t="s">
        <v>32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 ht="29" thickBot="1">
      <c r="A239" s="2" t="s">
        <v>85</v>
      </c>
      <c r="B239" s="3" t="s">
        <v>18</v>
      </c>
      <c r="C239" s="2" t="s">
        <v>31</v>
      </c>
      <c r="D239" s="2" t="s">
        <v>32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 ht="29" thickBot="1">
      <c r="A240" s="2" t="s">
        <v>85</v>
      </c>
      <c r="B240" s="3" t="s">
        <v>19</v>
      </c>
      <c r="C240" s="2" t="s">
        <v>31</v>
      </c>
      <c r="D240" s="2" t="s">
        <v>32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 ht="29" thickBot="1">
      <c r="A241" s="2" t="s">
        <v>85</v>
      </c>
      <c r="B241" s="3" t="s">
        <v>20</v>
      </c>
      <c r="C241" s="2" t="s">
        <v>31</v>
      </c>
      <c r="D241" s="2" t="s">
        <v>32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 ht="29" thickBot="1">
      <c r="A242" s="2" t="s">
        <v>86</v>
      </c>
      <c r="B242" s="3" t="s">
        <v>15</v>
      </c>
      <c r="C242" s="2" t="s">
        <v>28</v>
      </c>
      <c r="D242" s="2" t="s">
        <v>25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 ht="29" thickBot="1">
      <c r="A243" s="2" t="s">
        <v>86</v>
      </c>
      <c r="B243" s="3" t="s">
        <v>18</v>
      </c>
      <c r="C243" s="2" t="s">
        <v>28</v>
      </c>
      <c r="D243" s="2" t="s">
        <v>25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 ht="29" thickBot="1">
      <c r="A244" s="2" t="s">
        <v>86</v>
      </c>
      <c r="B244" s="3" t="s">
        <v>19</v>
      </c>
      <c r="C244" s="2" t="s">
        <v>28</v>
      </c>
      <c r="D244" s="2" t="s">
        <v>25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 ht="29" thickBot="1">
      <c r="A245" s="2" t="s">
        <v>86</v>
      </c>
      <c r="B245" s="3" t="s">
        <v>20</v>
      </c>
      <c r="C245" s="2" t="s">
        <v>28</v>
      </c>
      <c r="D245" s="2" t="s">
        <v>25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 ht="29" thickBot="1">
      <c r="A246" s="2" t="s">
        <v>87</v>
      </c>
      <c r="B246" s="3" t="s">
        <v>15</v>
      </c>
      <c r="C246" s="2" t="s">
        <v>16</v>
      </c>
      <c r="D246" s="2" t="s">
        <v>22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 ht="29" thickBot="1">
      <c r="A247" s="2" t="s">
        <v>87</v>
      </c>
      <c r="B247" s="3" t="s">
        <v>18</v>
      </c>
      <c r="C247" s="2" t="s">
        <v>16</v>
      </c>
      <c r="D247" s="2" t="s">
        <v>22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 ht="29" thickBot="1">
      <c r="A248" s="2" t="s">
        <v>87</v>
      </c>
      <c r="B248" s="3" t="s">
        <v>19</v>
      </c>
      <c r="C248" s="2" t="s">
        <v>16</v>
      </c>
      <c r="D248" s="2" t="s">
        <v>22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 ht="29" thickBot="1">
      <c r="A249" s="2" t="s">
        <v>87</v>
      </c>
      <c r="B249" s="3" t="s">
        <v>20</v>
      </c>
      <c r="C249" s="2" t="s">
        <v>16</v>
      </c>
      <c r="D249" s="2" t="s">
        <v>22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 ht="29" thickBot="1">
      <c r="A250" s="2" t="s">
        <v>88</v>
      </c>
      <c r="B250" s="3" t="s">
        <v>15</v>
      </c>
      <c r="C250" s="2" t="s">
        <v>24</v>
      </c>
      <c r="D250" s="2" t="s">
        <v>22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2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 ht="29" thickBot="1">
      <c r="A251" s="2" t="s">
        <v>88</v>
      </c>
      <c r="B251" s="3" t="s">
        <v>18</v>
      </c>
      <c r="C251" s="2" t="s">
        <v>24</v>
      </c>
      <c r="D251" s="2" t="s">
        <v>22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 ht="29" thickBot="1">
      <c r="A252" s="2" t="s">
        <v>88</v>
      </c>
      <c r="B252" s="3" t="s">
        <v>19</v>
      </c>
      <c r="C252" s="2" t="s">
        <v>24</v>
      </c>
      <c r="D252" s="2" t="s">
        <v>22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 ht="29" thickBot="1">
      <c r="A253" s="2" t="s">
        <v>88</v>
      </c>
      <c r="B253" s="3" t="s">
        <v>20</v>
      </c>
      <c r="C253" s="2" t="s">
        <v>24</v>
      </c>
      <c r="D253" s="2" t="s">
        <v>22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 ht="29" thickBot="1">
      <c r="A254" s="2" t="s">
        <v>89</v>
      </c>
      <c r="B254" s="3" t="s">
        <v>15</v>
      </c>
      <c r="C254" s="2" t="s">
        <v>28</v>
      </c>
      <c r="D254" s="2" t="s">
        <v>25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 ht="29" thickBot="1">
      <c r="A255" s="2" t="s">
        <v>89</v>
      </c>
      <c r="B255" s="3" t="s">
        <v>18</v>
      </c>
      <c r="C255" s="2" t="s">
        <v>28</v>
      </c>
      <c r="D255" s="2" t="s">
        <v>25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 ht="29" thickBot="1">
      <c r="A256" s="2" t="s">
        <v>89</v>
      </c>
      <c r="B256" s="3" t="s">
        <v>19</v>
      </c>
      <c r="C256" s="2" t="s">
        <v>28</v>
      </c>
      <c r="D256" s="2" t="s">
        <v>25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 ht="29" thickBot="1">
      <c r="A257" s="2" t="s">
        <v>89</v>
      </c>
      <c r="B257" s="3" t="s">
        <v>20</v>
      </c>
      <c r="C257" s="2" t="s">
        <v>28</v>
      </c>
      <c r="D257" s="2" t="s">
        <v>25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 ht="29" thickBot="1">
      <c r="A258" s="2" t="s">
        <v>90</v>
      </c>
      <c r="B258" s="3" t="s">
        <v>15</v>
      </c>
      <c r="C258" s="2" t="s">
        <v>28</v>
      </c>
      <c r="D258" s="2" t="s">
        <v>32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 ht="29" thickBot="1">
      <c r="A259" s="2" t="s">
        <v>90</v>
      </c>
      <c r="B259" s="3" t="s">
        <v>18</v>
      </c>
      <c r="C259" s="2" t="s">
        <v>28</v>
      </c>
      <c r="D259" s="2" t="s">
        <v>32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 ht="29" thickBot="1">
      <c r="A260" s="2" t="s">
        <v>90</v>
      </c>
      <c r="B260" s="3" t="s">
        <v>19</v>
      </c>
      <c r="C260" s="2" t="s">
        <v>28</v>
      </c>
      <c r="D260" s="2" t="s">
        <v>32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 ht="29" thickBot="1">
      <c r="A261" s="2" t="s">
        <v>90</v>
      </c>
      <c r="B261" s="3" t="s">
        <v>20</v>
      </c>
      <c r="C261" s="2" t="s">
        <v>28</v>
      </c>
      <c r="D261" s="2" t="s">
        <v>32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 ht="29" thickBot="1">
      <c r="A262" s="2" t="s">
        <v>91</v>
      </c>
      <c r="B262" s="3" t="s">
        <v>15</v>
      </c>
      <c r="C262" s="2" t="s">
        <v>31</v>
      </c>
      <c r="D262" s="2" t="s">
        <v>22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 ht="29" thickBot="1">
      <c r="A263" s="2" t="s">
        <v>91</v>
      </c>
      <c r="B263" s="3" t="s">
        <v>18</v>
      </c>
      <c r="C263" s="2" t="s">
        <v>31</v>
      </c>
      <c r="D263" s="2" t="s">
        <v>22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2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 ht="29" thickBot="1">
      <c r="A264" s="2" t="s">
        <v>91</v>
      </c>
      <c r="B264" s="3" t="s">
        <v>19</v>
      </c>
      <c r="C264" s="2" t="s">
        <v>31</v>
      </c>
      <c r="D264" s="2" t="s">
        <v>22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 ht="29" thickBot="1">
      <c r="A265" s="2" t="s">
        <v>91</v>
      </c>
      <c r="B265" s="3" t="s">
        <v>20</v>
      </c>
      <c r="C265" s="2" t="s">
        <v>31</v>
      </c>
      <c r="D265" s="2" t="s">
        <v>22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 ht="29" thickBot="1">
      <c r="A266" s="2" t="s">
        <v>92</v>
      </c>
      <c r="B266" s="3" t="s">
        <v>15</v>
      </c>
      <c r="C266" s="2" t="s">
        <v>16</v>
      </c>
      <c r="D266" s="2" t="s">
        <v>22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 ht="29" thickBot="1">
      <c r="A267" s="2" t="s">
        <v>92</v>
      </c>
      <c r="B267" s="3" t="s">
        <v>18</v>
      </c>
      <c r="C267" s="2" t="s">
        <v>16</v>
      </c>
      <c r="D267" s="2" t="s">
        <v>22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 ht="29" thickBot="1">
      <c r="A268" s="2" t="s">
        <v>92</v>
      </c>
      <c r="B268" s="3" t="s">
        <v>19</v>
      </c>
      <c r="C268" s="2" t="s">
        <v>16</v>
      </c>
      <c r="D268" s="2" t="s">
        <v>22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 ht="29" thickBot="1">
      <c r="A269" s="2" t="s">
        <v>92</v>
      </c>
      <c r="B269" s="3" t="s">
        <v>20</v>
      </c>
      <c r="C269" s="2" t="s">
        <v>16</v>
      </c>
      <c r="D269" s="2" t="s">
        <v>22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 ht="29" thickBot="1">
      <c r="A270" s="2" t="s">
        <v>93</v>
      </c>
      <c r="B270" s="3" t="s">
        <v>15</v>
      </c>
      <c r="C270" s="2" t="s">
        <v>16</v>
      </c>
      <c r="D270" s="2" t="s">
        <v>32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 ht="29" thickBot="1">
      <c r="A271" s="2" t="s">
        <v>93</v>
      </c>
      <c r="B271" s="3" t="s">
        <v>18</v>
      </c>
      <c r="C271" s="2" t="s">
        <v>16</v>
      </c>
      <c r="D271" s="2" t="s">
        <v>32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 ht="29" thickBot="1">
      <c r="A272" s="2" t="s">
        <v>93</v>
      </c>
      <c r="B272" s="3" t="s">
        <v>19</v>
      </c>
      <c r="C272" s="2" t="s">
        <v>16</v>
      </c>
      <c r="D272" s="2" t="s">
        <v>32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 ht="29" thickBot="1">
      <c r="A273" s="2" t="s">
        <v>93</v>
      </c>
      <c r="B273" s="3" t="s">
        <v>20</v>
      </c>
      <c r="C273" s="2" t="s">
        <v>16</v>
      </c>
      <c r="D273" s="2" t="s">
        <v>32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 ht="29" thickBot="1">
      <c r="A274" s="2" t="s">
        <v>94</v>
      </c>
      <c r="B274" s="3" t="s">
        <v>15</v>
      </c>
      <c r="C274" s="2" t="s">
        <v>31</v>
      </c>
      <c r="D274" s="2" t="s">
        <v>22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 ht="29" thickBot="1">
      <c r="A275" s="2" t="s">
        <v>94</v>
      </c>
      <c r="B275" s="3" t="s">
        <v>18</v>
      </c>
      <c r="C275" s="2" t="s">
        <v>31</v>
      </c>
      <c r="D275" s="2" t="s">
        <v>22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 ht="29" thickBot="1">
      <c r="A276" s="2" t="s">
        <v>94</v>
      </c>
      <c r="B276" s="3" t="s">
        <v>19</v>
      </c>
      <c r="C276" s="2" t="s">
        <v>31</v>
      </c>
      <c r="D276" s="2" t="s">
        <v>22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 ht="29" thickBot="1">
      <c r="A277" s="2" t="s">
        <v>94</v>
      </c>
      <c r="B277" s="3" t="s">
        <v>20</v>
      </c>
      <c r="C277" s="2" t="s">
        <v>31</v>
      </c>
      <c r="D277" s="2" t="s">
        <v>22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 ht="29" thickBot="1">
      <c r="A278" s="2" t="s">
        <v>95</v>
      </c>
      <c r="B278" s="3" t="s">
        <v>15</v>
      </c>
      <c r="C278" s="2" t="s">
        <v>28</v>
      </c>
      <c r="D278" s="2" t="s">
        <v>17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 ht="29" thickBot="1">
      <c r="A279" s="2" t="s">
        <v>95</v>
      </c>
      <c r="B279" s="3" t="s">
        <v>18</v>
      </c>
      <c r="C279" s="2" t="s">
        <v>28</v>
      </c>
      <c r="D279" s="2" t="s">
        <v>17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 ht="29" thickBot="1">
      <c r="A280" s="2" t="s">
        <v>95</v>
      </c>
      <c r="B280" s="3" t="s">
        <v>19</v>
      </c>
      <c r="C280" s="2" t="s">
        <v>28</v>
      </c>
      <c r="D280" s="2" t="s">
        <v>17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 ht="29" thickBot="1">
      <c r="A281" s="2" t="s">
        <v>95</v>
      </c>
      <c r="B281" s="3" t="s">
        <v>20</v>
      </c>
      <c r="C281" s="2" t="s">
        <v>28</v>
      </c>
      <c r="D281" s="2" t="s">
        <v>17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 ht="29" thickBot="1">
      <c r="A282" s="2" t="s">
        <v>96</v>
      </c>
      <c r="B282" s="3" t="s">
        <v>15</v>
      </c>
      <c r="C282" s="2" t="s">
        <v>28</v>
      </c>
      <c r="D282" s="2" t="s">
        <v>22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 ht="29" thickBot="1">
      <c r="A283" s="2" t="s">
        <v>96</v>
      </c>
      <c r="B283" s="3" t="s">
        <v>18</v>
      </c>
      <c r="C283" s="2" t="s">
        <v>28</v>
      </c>
      <c r="D283" s="2" t="s">
        <v>22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 ht="29" thickBot="1">
      <c r="A284" s="2" t="s">
        <v>96</v>
      </c>
      <c r="B284" s="3" t="s">
        <v>19</v>
      </c>
      <c r="C284" s="2" t="s">
        <v>28</v>
      </c>
      <c r="D284" s="2" t="s">
        <v>22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 ht="29" thickBot="1">
      <c r="A285" s="2" t="s">
        <v>96</v>
      </c>
      <c r="B285" s="3" t="s">
        <v>20</v>
      </c>
      <c r="C285" s="2" t="s">
        <v>28</v>
      </c>
      <c r="D285" s="2" t="s">
        <v>22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 ht="29" thickBot="1">
      <c r="A286" s="2" t="s">
        <v>97</v>
      </c>
      <c r="B286" s="3" t="s">
        <v>15</v>
      </c>
      <c r="C286" s="2" t="s">
        <v>31</v>
      </c>
      <c r="D286" s="2" t="s">
        <v>17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 ht="29" thickBot="1">
      <c r="A287" s="2" t="s">
        <v>97</v>
      </c>
      <c r="B287" s="3" t="s">
        <v>18</v>
      </c>
      <c r="C287" s="2" t="s">
        <v>31</v>
      </c>
      <c r="D287" s="2" t="s">
        <v>17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 ht="29" thickBot="1">
      <c r="A288" s="2" t="s">
        <v>97</v>
      </c>
      <c r="B288" s="3" t="s">
        <v>19</v>
      </c>
      <c r="C288" s="2" t="s">
        <v>31</v>
      </c>
      <c r="D288" s="2" t="s">
        <v>17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 ht="29" thickBot="1">
      <c r="A289" s="2" t="s">
        <v>97</v>
      </c>
      <c r="B289" s="3" t="s">
        <v>20</v>
      </c>
      <c r="C289" s="2" t="s">
        <v>31</v>
      </c>
      <c r="D289" s="2" t="s">
        <v>17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 ht="29" thickBot="1">
      <c r="A290" s="2" t="s">
        <v>98</v>
      </c>
      <c r="B290" s="3" t="s">
        <v>15</v>
      </c>
      <c r="C290" s="2" t="s">
        <v>16</v>
      </c>
      <c r="D290" s="2" t="s">
        <v>17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 ht="29" thickBot="1">
      <c r="A291" s="2" t="s">
        <v>98</v>
      </c>
      <c r="B291" s="3" t="s">
        <v>18</v>
      </c>
      <c r="C291" s="2" t="s">
        <v>16</v>
      </c>
      <c r="D291" s="2" t="s">
        <v>17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 ht="29" thickBot="1">
      <c r="A292" s="2" t="s">
        <v>98</v>
      </c>
      <c r="B292" s="3" t="s">
        <v>19</v>
      </c>
      <c r="C292" s="2" t="s">
        <v>16</v>
      </c>
      <c r="D292" s="2" t="s">
        <v>17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 ht="29" thickBot="1">
      <c r="A293" s="2" t="s">
        <v>98</v>
      </c>
      <c r="B293" s="3" t="s">
        <v>20</v>
      </c>
      <c r="C293" s="2" t="s">
        <v>16</v>
      </c>
      <c r="D293" s="2" t="s">
        <v>17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 ht="29" thickBot="1">
      <c r="A294" s="2" t="s">
        <v>99</v>
      </c>
      <c r="B294" s="3" t="s">
        <v>15</v>
      </c>
      <c r="C294" s="2" t="s">
        <v>31</v>
      </c>
      <c r="D294" s="2" t="s">
        <v>22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 ht="29" thickBot="1">
      <c r="A295" s="2" t="s">
        <v>99</v>
      </c>
      <c r="B295" s="3" t="s">
        <v>18</v>
      </c>
      <c r="C295" s="2" t="s">
        <v>31</v>
      </c>
      <c r="D295" s="2" t="s">
        <v>22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 ht="29" thickBot="1">
      <c r="A296" s="2" t="s">
        <v>99</v>
      </c>
      <c r="B296" s="3" t="s">
        <v>19</v>
      </c>
      <c r="C296" s="2" t="s">
        <v>31</v>
      </c>
      <c r="D296" s="2" t="s">
        <v>22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 ht="29" thickBot="1">
      <c r="A297" s="2" t="s">
        <v>99</v>
      </c>
      <c r="B297" s="3" t="s">
        <v>20</v>
      </c>
      <c r="C297" s="2" t="s">
        <v>31</v>
      </c>
      <c r="D297" s="2" t="s">
        <v>22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 ht="29" thickBot="1">
      <c r="A298" s="2" t="s">
        <v>100</v>
      </c>
      <c r="B298" s="3" t="s">
        <v>15</v>
      </c>
      <c r="C298" s="2" t="s">
        <v>31</v>
      </c>
      <c r="D298" s="2" t="s">
        <v>22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 ht="29" thickBot="1">
      <c r="A299" s="2" t="s">
        <v>100</v>
      </c>
      <c r="B299" s="3" t="s">
        <v>18</v>
      </c>
      <c r="C299" s="2" t="s">
        <v>31</v>
      </c>
      <c r="D299" s="2" t="s">
        <v>22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 ht="29" thickBot="1">
      <c r="A300" s="2" t="s">
        <v>100</v>
      </c>
      <c r="B300" s="3" t="s">
        <v>19</v>
      </c>
      <c r="C300" s="2" t="s">
        <v>31</v>
      </c>
      <c r="D300" s="2" t="s">
        <v>22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 ht="29" thickBot="1">
      <c r="A301" s="2" t="s">
        <v>100</v>
      </c>
      <c r="B301" s="3" t="s">
        <v>20</v>
      </c>
      <c r="C301" s="2" t="s">
        <v>31</v>
      </c>
      <c r="D301" s="2" t="s">
        <v>22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 ht="29" thickBot="1">
      <c r="A302" s="2" t="s">
        <v>101</v>
      </c>
      <c r="B302" s="3" t="s">
        <v>15</v>
      </c>
      <c r="C302" s="2" t="s">
        <v>24</v>
      </c>
      <c r="D302" s="2" t="s">
        <v>32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 ht="29" thickBot="1">
      <c r="A303" s="2" t="s">
        <v>101</v>
      </c>
      <c r="B303" s="3" t="s">
        <v>18</v>
      </c>
      <c r="C303" s="2" t="s">
        <v>24</v>
      </c>
      <c r="D303" s="2" t="s">
        <v>32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 ht="29" thickBot="1">
      <c r="A304" s="2" t="s">
        <v>101</v>
      </c>
      <c r="B304" s="3" t="s">
        <v>19</v>
      </c>
      <c r="C304" s="2" t="s">
        <v>24</v>
      </c>
      <c r="D304" s="2" t="s">
        <v>32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 ht="29" thickBot="1">
      <c r="A305" s="2" t="s">
        <v>101</v>
      </c>
      <c r="B305" s="3" t="s">
        <v>20</v>
      </c>
      <c r="C305" s="2" t="s">
        <v>24</v>
      </c>
      <c r="D305" s="2" t="s">
        <v>32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 ht="29" thickBot="1">
      <c r="A306" s="2" t="s">
        <v>102</v>
      </c>
      <c r="B306" s="3" t="s">
        <v>15</v>
      </c>
      <c r="C306" s="2" t="s">
        <v>28</v>
      </c>
      <c r="D306" s="2" t="s">
        <v>17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 ht="29" thickBot="1">
      <c r="A307" s="2" t="s">
        <v>102</v>
      </c>
      <c r="B307" s="3" t="s">
        <v>18</v>
      </c>
      <c r="C307" s="2" t="s">
        <v>28</v>
      </c>
      <c r="D307" s="2" t="s">
        <v>17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 ht="29" thickBot="1">
      <c r="A308" s="2" t="s">
        <v>102</v>
      </c>
      <c r="B308" s="3" t="s">
        <v>19</v>
      </c>
      <c r="C308" s="2" t="s">
        <v>28</v>
      </c>
      <c r="D308" s="2" t="s">
        <v>17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 ht="29" thickBot="1">
      <c r="A309" s="2" t="s">
        <v>102</v>
      </c>
      <c r="B309" s="3" t="s">
        <v>20</v>
      </c>
      <c r="C309" s="2" t="s">
        <v>28</v>
      </c>
      <c r="D309" s="2" t="s">
        <v>17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 ht="29" thickBot="1">
      <c r="A310" s="2" t="s">
        <v>103</v>
      </c>
      <c r="B310" s="3" t="s">
        <v>15</v>
      </c>
      <c r="C310" s="2" t="s">
        <v>28</v>
      </c>
      <c r="D310" s="2" t="s">
        <v>22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 ht="29" thickBot="1">
      <c r="A311" s="2" t="s">
        <v>103</v>
      </c>
      <c r="B311" s="3" t="s">
        <v>18</v>
      </c>
      <c r="C311" s="2" t="s">
        <v>28</v>
      </c>
      <c r="D311" s="2" t="s">
        <v>22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 ht="29" thickBot="1">
      <c r="A312" s="2" t="s">
        <v>103</v>
      </c>
      <c r="B312" s="3" t="s">
        <v>19</v>
      </c>
      <c r="C312" s="2" t="s">
        <v>28</v>
      </c>
      <c r="D312" s="2" t="s">
        <v>22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 ht="29" thickBot="1">
      <c r="A313" s="2" t="s">
        <v>103</v>
      </c>
      <c r="B313" s="3" t="s">
        <v>20</v>
      </c>
      <c r="C313" s="2" t="s">
        <v>28</v>
      </c>
      <c r="D313" s="2" t="s">
        <v>22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2"/>
      <c r="M313" s="3">
        <v>771129.07</v>
      </c>
      <c r="N313" s="3">
        <v>116851.13</v>
      </c>
    </row>
    <row r="314" spans="1:14" ht="29" thickBot="1">
      <c r="A314" s="2" t="s">
        <v>104</v>
      </c>
      <c r="B314" s="3" t="s">
        <v>15</v>
      </c>
      <c r="C314" s="2" t="s">
        <v>24</v>
      </c>
      <c r="D314" s="2" t="s">
        <v>17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 ht="29" thickBot="1">
      <c r="A315" s="2" t="s">
        <v>104</v>
      </c>
      <c r="B315" s="3" t="s">
        <v>18</v>
      </c>
      <c r="C315" s="2" t="s">
        <v>24</v>
      </c>
      <c r="D315" s="2" t="s">
        <v>17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2"/>
      <c r="M315" s="3">
        <v>688368.46</v>
      </c>
      <c r="N315" s="3">
        <v>93588.42</v>
      </c>
    </row>
    <row r="316" spans="1:14" ht="29" thickBot="1">
      <c r="A316" s="2" t="s">
        <v>104</v>
      </c>
      <c r="B316" s="3" t="s">
        <v>19</v>
      </c>
      <c r="C316" s="2" t="s">
        <v>24</v>
      </c>
      <c r="D316" s="2" t="s">
        <v>17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 ht="29" thickBot="1">
      <c r="A317" s="2" t="s">
        <v>104</v>
      </c>
      <c r="B317" s="3" t="s">
        <v>20</v>
      </c>
      <c r="C317" s="2" t="s">
        <v>24</v>
      </c>
      <c r="D317" s="2" t="s">
        <v>17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 ht="29" thickBot="1">
      <c r="A318" s="2" t="s">
        <v>105</v>
      </c>
      <c r="B318" s="3" t="s">
        <v>15</v>
      </c>
      <c r="C318" s="2" t="s">
        <v>16</v>
      </c>
      <c r="D318" s="2" t="s">
        <v>17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 ht="29" thickBot="1">
      <c r="A319" s="2" t="s">
        <v>105</v>
      </c>
      <c r="B319" s="3" t="s">
        <v>18</v>
      </c>
      <c r="C319" s="2" t="s">
        <v>16</v>
      </c>
      <c r="D319" s="2" t="s">
        <v>17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 ht="29" thickBot="1">
      <c r="A320" s="2" t="s">
        <v>105</v>
      </c>
      <c r="B320" s="3" t="s">
        <v>19</v>
      </c>
      <c r="C320" s="2" t="s">
        <v>16</v>
      </c>
      <c r="D320" s="2" t="s">
        <v>17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 ht="29" thickBot="1">
      <c r="A321" s="2" t="s">
        <v>105</v>
      </c>
      <c r="B321" s="3" t="s">
        <v>20</v>
      </c>
      <c r="C321" s="2" t="s">
        <v>16</v>
      </c>
      <c r="D321" s="2" t="s">
        <v>17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277F-FF74-4D0C-8AFE-DF107CFD2F43}">
  <dimension ref="A1:N321"/>
  <sheetViews>
    <sheetView topLeftCell="H306" zoomScale="72" workbookViewId="0">
      <selection activeCell="I2" sqref="I2:I321"/>
    </sheetView>
  </sheetViews>
  <sheetFormatPr defaultRowHeight="14.5"/>
  <cols>
    <col min="1" max="1" width="15.54296875" customWidth="1"/>
    <col min="4" max="4" width="14.453125" customWidth="1"/>
    <col min="5" max="5" width="18.7265625" customWidth="1"/>
    <col min="7" max="7" width="18.7265625" customWidth="1"/>
    <col min="8" max="8" width="12" customWidth="1"/>
    <col min="9" max="9" width="26" customWidth="1"/>
    <col min="10" max="10" width="25.81640625" customWidth="1"/>
    <col min="11" max="11" width="16.26953125" customWidth="1"/>
    <col min="12" max="12" width="17.36328125" customWidth="1"/>
    <col min="13" max="13" width="14" customWidth="1"/>
    <col min="14" max="14" width="16.90625" customWidth="1"/>
    <col min="15" max="15" width="25" customWidth="1"/>
  </cols>
  <sheetData>
    <row r="1" spans="1:14" ht="5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thickBot="1">
      <c r="A2" s="2" t="s">
        <v>14</v>
      </c>
      <c r="B2" s="3" t="s">
        <v>15</v>
      </c>
      <c r="C2" s="2" t="s">
        <v>16</v>
      </c>
      <c r="D2" s="2" t="s">
        <v>17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 ht="29" thickBot="1">
      <c r="A3" s="2" t="s">
        <v>14</v>
      </c>
      <c r="B3" s="3" t="s">
        <v>18</v>
      </c>
      <c r="C3" s="2" t="s">
        <v>16</v>
      </c>
      <c r="D3" s="2" t="s">
        <v>17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 ht="29" thickBot="1">
      <c r="A4" s="2" t="s">
        <v>14</v>
      </c>
      <c r="B4" s="3" t="s">
        <v>19</v>
      </c>
      <c r="C4" s="2" t="s">
        <v>16</v>
      </c>
      <c r="D4" s="2" t="s">
        <v>17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 ht="29" thickBot="1">
      <c r="A5" s="2" t="s">
        <v>14</v>
      </c>
      <c r="B5" s="3" t="s">
        <v>20</v>
      </c>
      <c r="C5" s="2" t="s">
        <v>16</v>
      </c>
      <c r="D5" s="2" t="s">
        <v>17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 ht="29" thickBot="1">
      <c r="A6" s="2" t="s">
        <v>21</v>
      </c>
      <c r="B6" s="3" t="s">
        <v>15</v>
      </c>
      <c r="C6" s="2" t="s">
        <v>16</v>
      </c>
      <c r="D6" s="2" t="s">
        <v>22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 ht="29" thickBot="1">
      <c r="A7" s="2" t="s">
        <v>21</v>
      </c>
      <c r="B7" s="3" t="s">
        <v>18</v>
      </c>
      <c r="C7" s="2" t="s">
        <v>16</v>
      </c>
      <c r="D7" s="2" t="s">
        <v>22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 ht="29" thickBot="1">
      <c r="A8" s="2" t="s">
        <v>21</v>
      </c>
      <c r="B8" s="3" t="s">
        <v>19</v>
      </c>
      <c r="C8" s="2" t="s">
        <v>16</v>
      </c>
      <c r="D8" s="2" t="s">
        <v>22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 ht="29" thickBot="1">
      <c r="A9" s="2" t="s">
        <v>21</v>
      </c>
      <c r="B9" s="3" t="s">
        <v>20</v>
      </c>
      <c r="C9" s="2" t="s">
        <v>16</v>
      </c>
      <c r="D9" s="2" t="s">
        <v>22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 ht="29" thickBot="1">
      <c r="A10" s="2" t="s">
        <v>23</v>
      </c>
      <c r="B10" s="3" t="s">
        <v>15</v>
      </c>
      <c r="C10" s="2" t="s">
        <v>24</v>
      </c>
      <c r="D10" s="2" t="s">
        <v>25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 ht="29" thickBot="1">
      <c r="A11" s="2" t="s">
        <v>23</v>
      </c>
      <c r="B11" s="3" t="s">
        <v>18</v>
      </c>
      <c r="C11" s="2" t="s">
        <v>24</v>
      </c>
      <c r="D11" s="2" t="s">
        <v>25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 ht="29" thickBot="1">
      <c r="A12" s="2" t="s">
        <v>23</v>
      </c>
      <c r="B12" s="3" t="s">
        <v>19</v>
      </c>
      <c r="C12" s="2" t="s">
        <v>24</v>
      </c>
      <c r="D12" s="2" t="s">
        <v>25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 ht="29" thickBot="1">
      <c r="A13" s="2" t="s">
        <v>23</v>
      </c>
      <c r="B13" s="3" t="s">
        <v>20</v>
      </c>
      <c r="C13" s="2" t="s">
        <v>24</v>
      </c>
      <c r="D13" s="2" t="s">
        <v>25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 ht="29" thickBot="1">
      <c r="A14" s="2" t="s">
        <v>26</v>
      </c>
      <c r="B14" s="3" t="s">
        <v>15</v>
      </c>
      <c r="C14" s="2" t="s">
        <v>16</v>
      </c>
      <c r="D14" s="2" t="s">
        <v>17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 ht="29" thickBot="1">
      <c r="A15" s="2" t="s">
        <v>26</v>
      </c>
      <c r="B15" s="3" t="s">
        <v>18</v>
      </c>
      <c r="C15" s="2" t="s">
        <v>16</v>
      </c>
      <c r="D15" s="2" t="s">
        <v>17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 ht="29" thickBot="1">
      <c r="A16" s="2" t="s">
        <v>26</v>
      </c>
      <c r="B16" s="3" t="s">
        <v>19</v>
      </c>
      <c r="C16" s="2" t="s">
        <v>16</v>
      </c>
      <c r="D16" s="2" t="s">
        <v>17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 ht="29" thickBot="1">
      <c r="A17" s="2" t="s">
        <v>26</v>
      </c>
      <c r="B17" s="3" t="s">
        <v>20</v>
      </c>
      <c r="C17" s="2" t="s">
        <v>16</v>
      </c>
      <c r="D17" s="2" t="s">
        <v>17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 ht="29" thickBot="1">
      <c r="A18" s="2" t="s">
        <v>27</v>
      </c>
      <c r="B18" s="3" t="s">
        <v>15</v>
      </c>
      <c r="C18" s="2" t="s">
        <v>28</v>
      </c>
      <c r="D18" s="2" t="s">
        <v>17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 ht="29" thickBot="1">
      <c r="A19" s="2" t="s">
        <v>27</v>
      </c>
      <c r="B19" s="3" t="s">
        <v>18</v>
      </c>
      <c r="C19" s="2" t="s">
        <v>28</v>
      </c>
      <c r="D19" s="2" t="s">
        <v>17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 ht="29" thickBot="1">
      <c r="A20" s="2" t="s">
        <v>27</v>
      </c>
      <c r="B20" s="3" t="s">
        <v>19</v>
      </c>
      <c r="C20" s="2" t="s">
        <v>28</v>
      </c>
      <c r="D20" s="2" t="s">
        <v>17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 ht="29" thickBot="1">
      <c r="A21" s="2" t="s">
        <v>27</v>
      </c>
      <c r="B21" s="3" t="s">
        <v>20</v>
      </c>
      <c r="C21" s="2" t="s">
        <v>28</v>
      </c>
      <c r="D21" s="2" t="s">
        <v>17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 ht="29" thickBot="1">
      <c r="A22" s="2" t="s">
        <v>29</v>
      </c>
      <c r="B22" s="3" t="s">
        <v>15</v>
      </c>
      <c r="C22" s="2" t="s">
        <v>24</v>
      </c>
      <c r="D22" s="2" t="s">
        <v>17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 ht="29" thickBot="1">
      <c r="A23" s="2" t="s">
        <v>29</v>
      </c>
      <c r="B23" s="3" t="s">
        <v>18</v>
      </c>
      <c r="C23" s="2" t="s">
        <v>24</v>
      </c>
      <c r="D23" s="2" t="s">
        <v>17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 ht="29" thickBot="1">
      <c r="A24" s="2" t="s">
        <v>29</v>
      </c>
      <c r="B24" s="3" t="s">
        <v>19</v>
      </c>
      <c r="C24" s="2" t="s">
        <v>24</v>
      </c>
      <c r="D24" s="2" t="s">
        <v>17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 ht="29" thickBot="1">
      <c r="A25" s="2" t="s">
        <v>29</v>
      </c>
      <c r="B25" s="3" t="s">
        <v>20</v>
      </c>
      <c r="C25" s="2" t="s">
        <v>24</v>
      </c>
      <c r="D25" s="2" t="s">
        <v>17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 ht="29" thickBot="1">
      <c r="A26" s="2" t="s">
        <v>30</v>
      </c>
      <c r="B26" s="3" t="s">
        <v>15</v>
      </c>
      <c r="C26" s="2" t="s">
        <v>31</v>
      </c>
      <c r="D26" s="2" t="s">
        <v>32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 ht="29" thickBot="1">
      <c r="A27" s="2" t="s">
        <v>30</v>
      </c>
      <c r="B27" s="3" t="s">
        <v>18</v>
      </c>
      <c r="C27" s="2" t="s">
        <v>31</v>
      </c>
      <c r="D27" s="2" t="s">
        <v>32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 ht="29" thickBot="1">
      <c r="A28" s="2" t="s">
        <v>30</v>
      </c>
      <c r="B28" s="3" t="s">
        <v>19</v>
      </c>
      <c r="C28" s="2" t="s">
        <v>31</v>
      </c>
      <c r="D28" s="2" t="s">
        <v>32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 ht="29" thickBot="1">
      <c r="A29" s="2" t="s">
        <v>30</v>
      </c>
      <c r="B29" s="3" t="s">
        <v>20</v>
      </c>
      <c r="C29" s="2" t="s">
        <v>31</v>
      </c>
      <c r="D29" s="2" t="s">
        <v>32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 ht="29" thickBot="1">
      <c r="A30" s="2" t="s">
        <v>33</v>
      </c>
      <c r="B30" s="3" t="s">
        <v>15</v>
      </c>
      <c r="C30" s="2" t="s">
        <v>16</v>
      </c>
      <c r="D30" s="2" t="s">
        <v>17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 ht="29" thickBot="1">
      <c r="A31" s="2" t="s">
        <v>33</v>
      </c>
      <c r="B31" s="3" t="s">
        <v>18</v>
      </c>
      <c r="C31" s="2" t="s">
        <v>16</v>
      </c>
      <c r="D31" s="2" t="s">
        <v>17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 ht="29" thickBot="1">
      <c r="A32" s="2" t="s">
        <v>33</v>
      </c>
      <c r="B32" s="3" t="s">
        <v>19</v>
      </c>
      <c r="C32" s="2" t="s">
        <v>16</v>
      </c>
      <c r="D32" s="2" t="s">
        <v>17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 ht="29" thickBot="1">
      <c r="A33" s="2" t="s">
        <v>33</v>
      </c>
      <c r="B33" s="3" t="s">
        <v>20</v>
      </c>
      <c r="C33" s="2" t="s">
        <v>16</v>
      </c>
      <c r="D33" s="2" t="s">
        <v>17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 ht="29" thickBot="1">
      <c r="A34" s="2" t="s">
        <v>34</v>
      </c>
      <c r="B34" s="3" t="s">
        <v>15</v>
      </c>
      <c r="C34" s="2" t="s">
        <v>24</v>
      </c>
      <c r="D34" s="2" t="s">
        <v>17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 ht="33" customHeight="1" thickBot="1">
      <c r="A35" s="2" t="s">
        <v>34</v>
      </c>
      <c r="B35" s="3" t="s">
        <v>18</v>
      </c>
      <c r="C35" s="2" t="s">
        <v>24</v>
      </c>
      <c r="D35" s="2" t="s">
        <v>17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2">
        <v>3.9</v>
      </c>
      <c r="M35" s="3">
        <v>799477.76000000001</v>
      </c>
      <c r="N35" s="3">
        <v>164974.41</v>
      </c>
    </row>
    <row r="36" spans="1:14" ht="29" thickBot="1">
      <c r="A36" s="2" t="s">
        <v>34</v>
      </c>
      <c r="B36" s="3" t="s">
        <v>19</v>
      </c>
      <c r="C36" s="2" t="s">
        <v>24</v>
      </c>
      <c r="D36" s="2" t="s">
        <v>17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 ht="29" thickBot="1">
      <c r="A37" s="2" t="s">
        <v>34</v>
      </c>
      <c r="B37" s="3" t="s">
        <v>20</v>
      </c>
      <c r="C37" s="2" t="s">
        <v>24</v>
      </c>
      <c r="D37" s="2" t="s">
        <v>17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 ht="29" thickBot="1">
      <c r="A38" s="2" t="s">
        <v>35</v>
      </c>
      <c r="B38" s="3" t="s">
        <v>15</v>
      </c>
      <c r="C38" s="2" t="s">
        <v>24</v>
      </c>
      <c r="D38" s="2" t="s">
        <v>32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 ht="29" thickBot="1">
      <c r="A39" s="2" t="s">
        <v>35</v>
      </c>
      <c r="B39" s="3" t="s">
        <v>18</v>
      </c>
      <c r="C39" s="2" t="s">
        <v>24</v>
      </c>
      <c r="D39" s="2" t="s">
        <v>32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 ht="29" thickBot="1">
      <c r="A40" s="2" t="s">
        <v>35</v>
      </c>
      <c r="B40" s="3" t="s">
        <v>19</v>
      </c>
      <c r="C40" s="2" t="s">
        <v>24</v>
      </c>
      <c r="D40" s="2" t="s">
        <v>32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 ht="29" thickBot="1">
      <c r="A41" s="2" t="s">
        <v>35</v>
      </c>
      <c r="B41" s="3" t="s">
        <v>20</v>
      </c>
      <c r="C41" s="2" t="s">
        <v>24</v>
      </c>
      <c r="D41" s="2" t="s">
        <v>32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 ht="29" thickBot="1">
      <c r="A42" s="2" t="s">
        <v>36</v>
      </c>
      <c r="B42" s="3" t="s">
        <v>15</v>
      </c>
      <c r="C42" s="2" t="s">
        <v>16</v>
      </c>
      <c r="D42" s="2" t="s">
        <v>32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 ht="29" thickBot="1">
      <c r="A43" s="2" t="s">
        <v>36</v>
      </c>
      <c r="B43" s="3" t="s">
        <v>18</v>
      </c>
      <c r="C43" s="2" t="s">
        <v>16</v>
      </c>
      <c r="D43" s="2" t="s">
        <v>32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 ht="29" thickBot="1">
      <c r="A44" s="2" t="s">
        <v>36</v>
      </c>
      <c r="B44" s="3" t="s">
        <v>19</v>
      </c>
      <c r="C44" s="2" t="s">
        <v>16</v>
      </c>
      <c r="D44" s="2" t="s">
        <v>32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 ht="29" thickBot="1">
      <c r="A45" s="2" t="s">
        <v>36</v>
      </c>
      <c r="B45" s="3" t="s">
        <v>20</v>
      </c>
      <c r="C45" s="2" t="s">
        <v>16</v>
      </c>
      <c r="D45" s="2" t="s">
        <v>32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 ht="29" thickBot="1">
      <c r="A46" s="2" t="s">
        <v>37</v>
      </c>
      <c r="B46" s="3" t="s">
        <v>15</v>
      </c>
      <c r="C46" s="2" t="s">
        <v>31</v>
      </c>
      <c r="D46" s="2" t="s">
        <v>17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 ht="29" thickBot="1">
      <c r="A47" s="2" t="s">
        <v>37</v>
      </c>
      <c r="B47" s="3" t="s">
        <v>18</v>
      </c>
      <c r="C47" s="2" t="s">
        <v>31</v>
      </c>
      <c r="D47" s="2" t="s">
        <v>17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 ht="29" thickBot="1">
      <c r="A48" s="2" t="s">
        <v>37</v>
      </c>
      <c r="B48" s="3" t="s">
        <v>19</v>
      </c>
      <c r="C48" s="2" t="s">
        <v>31</v>
      </c>
      <c r="D48" s="2" t="s">
        <v>17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 ht="29" thickBot="1">
      <c r="A49" s="2" t="s">
        <v>37</v>
      </c>
      <c r="B49" s="3" t="s">
        <v>20</v>
      </c>
      <c r="C49" s="2" t="s">
        <v>31</v>
      </c>
      <c r="D49" s="2" t="s">
        <v>17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 ht="29" thickBot="1">
      <c r="A50" s="2" t="s">
        <v>38</v>
      </c>
      <c r="B50" s="3" t="s">
        <v>15</v>
      </c>
      <c r="C50" s="2" t="s">
        <v>24</v>
      </c>
      <c r="D50" s="2" t="s">
        <v>32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 ht="29" thickBot="1">
      <c r="A51" s="2" t="s">
        <v>38</v>
      </c>
      <c r="B51" s="3" t="s">
        <v>18</v>
      </c>
      <c r="C51" s="2" t="s">
        <v>24</v>
      </c>
      <c r="D51" s="2" t="s">
        <v>32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 ht="29" thickBot="1">
      <c r="A52" s="2" t="s">
        <v>38</v>
      </c>
      <c r="B52" s="3" t="s">
        <v>19</v>
      </c>
      <c r="C52" s="2" t="s">
        <v>24</v>
      </c>
      <c r="D52" s="2" t="s">
        <v>32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 ht="29" thickBot="1">
      <c r="A53" s="2" t="s">
        <v>38</v>
      </c>
      <c r="B53" s="3" t="s">
        <v>20</v>
      </c>
      <c r="C53" s="2" t="s">
        <v>24</v>
      </c>
      <c r="D53" s="2" t="s">
        <v>32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 ht="29" thickBot="1">
      <c r="A54" s="2" t="s">
        <v>39</v>
      </c>
      <c r="B54" s="3" t="s">
        <v>15</v>
      </c>
      <c r="C54" s="2" t="s">
        <v>31</v>
      </c>
      <c r="D54" s="2" t="s">
        <v>22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 ht="29" thickBot="1">
      <c r="A55" s="2" t="s">
        <v>39</v>
      </c>
      <c r="B55" s="3" t="s">
        <v>18</v>
      </c>
      <c r="C55" s="2" t="s">
        <v>31</v>
      </c>
      <c r="D55" s="2" t="s">
        <v>22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 ht="29" thickBot="1">
      <c r="A56" s="2" t="s">
        <v>39</v>
      </c>
      <c r="B56" s="3" t="s">
        <v>19</v>
      </c>
      <c r="C56" s="2" t="s">
        <v>31</v>
      </c>
      <c r="D56" s="2" t="s">
        <v>22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 ht="29" thickBot="1">
      <c r="A57" s="2" t="s">
        <v>39</v>
      </c>
      <c r="B57" s="3" t="s">
        <v>20</v>
      </c>
      <c r="C57" s="2" t="s">
        <v>31</v>
      </c>
      <c r="D57" s="2" t="s">
        <v>22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 ht="29" thickBot="1">
      <c r="A58" s="2" t="s">
        <v>40</v>
      </c>
      <c r="B58" s="3" t="s">
        <v>15</v>
      </c>
      <c r="C58" s="2" t="s">
        <v>16</v>
      </c>
      <c r="D58" s="2" t="s">
        <v>25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 ht="29" thickBot="1">
      <c r="A59" s="2" t="s">
        <v>40</v>
      </c>
      <c r="B59" s="3" t="s">
        <v>18</v>
      </c>
      <c r="C59" s="2" t="s">
        <v>16</v>
      </c>
      <c r="D59" s="2" t="s">
        <v>25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 ht="29" thickBot="1">
      <c r="A60" s="2" t="s">
        <v>40</v>
      </c>
      <c r="B60" s="3" t="s">
        <v>19</v>
      </c>
      <c r="C60" s="2" t="s">
        <v>16</v>
      </c>
      <c r="D60" s="2" t="s">
        <v>25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 ht="29" thickBot="1">
      <c r="A61" s="2" t="s">
        <v>40</v>
      </c>
      <c r="B61" s="3" t="s">
        <v>20</v>
      </c>
      <c r="C61" s="2" t="s">
        <v>16</v>
      </c>
      <c r="D61" s="2" t="s">
        <v>25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 ht="29" thickBot="1">
      <c r="A62" s="2" t="s">
        <v>41</v>
      </c>
      <c r="B62" s="3" t="s">
        <v>15</v>
      </c>
      <c r="C62" s="2" t="s">
        <v>28</v>
      </c>
      <c r="D62" s="2" t="s">
        <v>22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 ht="29" thickBot="1">
      <c r="A63" s="2" t="s">
        <v>41</v>
      </c>
      <c r="B63" s="3" t="s">
        <v>18</v>
      </c>
      <c r="C63" s="2" t="s">
        <v>28</v>
      </c>
      <c r="D63" s="2" t="s">
        <v>22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 ht="29" thickBot="1">
      <c r="A64" s="2" t="s">
        <v>41</v>
      </c>
      <c r="B64" s="3" t="s">
        <v>19</v>
      </c>
      <c r="C64" s="2" t="s">
        <v>28</v>
      </c>
      <c r="D64" s="2" t="s">
        <v>22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 ht="29" thickBot="1">
      <c r="A65" s="2" t="s">
        <v>41</v>
      </c>
      <c r="B65" s="3" t="s">
        <v>20</v>
      </c>
      <c r="C65" s="2" t="s">
        <v>28</v>
      </c>
      <c r="D65" s="2" t="s">
        <v>22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 ht="29" thickBot="1">
      <c r="A66" s="2" t="s">
        <v>42</v>
      </c>
      <c r="B66" s="3" t="s">
        <v>15</v>
      </c>
      <c r="C66" s="2" t="s">
        <v>31</v>
      </c>
      <c r="D66" s="2" t="s">
        <v>22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 ht="29" thickBot="1">
      <c r="A67" s="2" t="s">
        <v>42</v>
      </c>
      <c r="B67" s="3" t="s">
        <v>18</v>
      </c>
      <c r="C67" s="2" t="s">
        <v>31</v>
      </c>
      <c r="D67" s="2" t="s">
        <v>22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 ht="29" thickBot="1">
      <c r="A68" s="2" t="s">
        <v>42</v>
      </c>
      <c r="B68" s="3" t="s">
        <v>19</v>
      </c>
      <c r="C68" s="2" t="s">
        <v>31</v>
      </c>
      <c r="D68" s="2" t="s">
        <v>22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 ht="29" thickBot="1">
      <c r="A69" s="2" t="s">
        <v>42</v>
      </c>
      <c r="B69" s="3" t="s">
        <v>20</v>
      </c>
      <c r="C69" s="2" t="s">
        <v>31</v>
      </c>
      <c r="D69" s="2" t="s">
        <v>22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 ht="29" thickBot="1">
      <c r="A70" s="2" t="s">
        <v>43</v>
      </c>
      <c r="B70" s="3" t="s">
        <v>15</v>
      </c>
      <c r="C70" s="2" t="s">
        <v>16</v>
      </c>
      <c r="D70" s="2" t="s">
        <v>22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 ht="29" thickBot="1">
      <c r="A71" s="2" t="s">
        <v>43</v>
      </c>
      <c r="B71" s="3" t="s">
        <v>18</v>
      </c>
      <c r="C71" s="2" t="s">
        <v>16</v>
      </c>
      <c r="D71" s="2" t="s">
        <v>22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 ht="29" thickBot="1">
      <c r="A72" s="2" t="s">
        <v>43</v>
      </c>
      <c r="B72" s="3" t="s">
        <v>19</v>
      </c>
      <c r="C72" s="2" t="s">
        <v>16</v>
      </c>
      <c r="D72" s="2" t="s">
        <v>22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 ht="35" customHeight="1" thickBot="1">
      <c r="A73" s="2" t="s">
        <v>43</v>
      </c>
      <c r="B73" s="3" t="s">
        <v>20</v>
      </c>
      <c r="C73" s="2" t="s">
        <v>16</v>
      </c>
      <c r="D73" s="2" t="s">
        <v>22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2">
        <v>4.55</v>
      </c>
      <c r="K73" s="3">
        <v>0</v>
      </c>
      <c r="L73" s="3">
        <v>3.5</v>
      </c>
      <c r="M73" s="3">
        <v>674774.09</v>
      </c>
      <c r="N73" s="3">
        <v>141917.59</v>
      </c>
    </row>
    <row r="74" spans="1:14" ht="29" thickBot="1">
      <c r="A74" s="2" t="s">
        <v>44</v>
      </c>
      <c r="B74" s="3" t="s">
        <v>15</v>
      </c>
      <c r="C74" s="2" t="s">
        <v>16</v>
      </c>
      <c r="D74" s="2" t="s">
        <v>17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 ht="29" thickBot="1">
      <c r="A75" s="2" t="s">
        <v>44</v>
      </c>
      <c r="B75" s="3" t="s">
        <v>18</v>
      </c>
      <c r="C75" s="2" t="s">
        <v>16</v>
      </c>
      <c r="D75" s="2" t="s">
        <v>17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 ht="29" thickBot="1">
      <c r="A76" s="2" t="s">
        <v>44</v>
      </c>
      <c r="B76" s="3" t="s">
        <v>19</v>
      </c>
      <c r="C76" s="2" t="s">
        <v>16</v>
      </c>
      <c r="D76" s="2" t="s">
        <v>17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 ht="29" thickBot="1">
      <c r="A77" s="2" t="s">
        <v>44</v>
      </c>
      <c r="B77" s="3" t="s">
        <v>20</v>
      </c>
      <c r="C77" s="2" t="s">
        <v>16</v>
      </c>
      <c r="D77" s="2" t="s">
        <v>17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 ht="29" thickBot="1">
      <c r="A78" s="2" t="s">
        <v>45</v>
      </c>
      <c r="B78" s="3" t="s">
        <v>15</v>
      </c>
      <c r="C78" s="2" t="s">
        <v>28</v>
      </c>
      <c r="D78" s="2" t="s">
        <v>22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 ht="29" thickBot="1">
      <c r="A79" s="2" t="s">
        <v>45</v>
      </c>
      <c r="B79" s="3" t="s">
        <v>18</v>
      </c>
      <c r="C79" s="2" t="s">
        <v>28</v>
      </c>
      <c r="D79" s="2" t="s">
        <v>22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 ht="29" thickBot="1">
      <c r="A80" s="2" t="s">
        <v>45</v>
      </c>
      <c r="B80" s="3" t="s">
        <v>19</v>
      </c>
      <c r="C80" s="2" t="s">
        <v>28</v>
      </c>
      <c r="D80" s="2" t="s">
        <v>22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 ht="29" thickBot="1">
      <c r="A81" s="2" t="s">
        <v>45</v>
      </c>
      <c r="B81" s="3" t="s">
        <v>20</v>
      </c>
      <c r="C81" s="2" t="s">
        <v>28</v>
      </c>
      <c r="D81" s="2" t="s">
        <v>22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 ht="29" thickBot="1">
      <c r="A82" s="2" t="s">
        <v>46</v>
      </c>
      <c r="B82" s="3" t="s">
        <v>15</v>
      </c>
      <c r="C82" s="2" t="s">
        <v>31</v>
      </c>
      <c r="D82" s="2" t="s">
        <v>32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 ht="29" thickBot="1">
      <c r="A83" s="2" t="s">
        <v>46</v>
      </c>
      <c r="B83" s="3" t="s">
        <v>18</v>
      </c>
      <c r="C83" s="2" t="s">
        <v>31</v>
      </c>
      <c r="D83" s="2" t="s">
        <v>32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 ht="29" thickBot="1">
      <c r="A84" s="2" t="s">
        <v>46</v>
      </c>
      <c r="B84" s="3" t="s">
        <v>19</v>
      </c>
      <c r="C84" s="2" t="s">
        <v>31</v>
      </c>
      <c r="D84" s="2" t="s">
        <v>32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 ht="29" thickBot="1">
      <c r="A85" s="2" t="s">
        <v>46</v>
      </c>
      <c r="B85" s="3" t="s">
        <v>20</v>
      </c>
      <c r="C85" s="2" t="s">
        <v>31</v>
      </c>
      <c r="D85" s="2" t="s">
        <v>32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 ht="29" thickBot="1">
      <c r="A86" s="2" t="s">
        <v>47</v>
      </c>
      <c r="B86" s="3" t="s">
        <v>15</v>
      </c>
      <c r="C86" s="2" t="s">
        <v>31</v>
      </c>
      <c r="D86" s="2" t="s">
        <v>22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 ht="40" customHeight="1" thickBot="1">
      <c r="A87" s="2" t="s">
        <v>47</v>
      </c>
      <c r="B87" s="3" t="s">
        <v>18</v>
      </c>
      <c r="C87" s="2" t="s">
        <v>31</v>
      </c>
      <c r="D87" s="2" t="s">
        <v>22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2">
        <v>3.9</v>
      </c>
      <c r="M87" s="3">
        <v>611766.72</v>
      </c>
      <c r="N87" s="3">
        <v>88275.61</v>
      </c>
    </row>
    <row r="88" spans="1:14" ht="29" thickBot="1">
      <c r="A88" s="2" t="s">
        <v>47</v>
      </c>
      <c r="B88" s="3" t="s">
        <v>19</v>
      </c>
      <c r="C88" s="2" t="s">
        <v>31</v>
      </c>
      <c r="D88" s="2" t="s">
        <v>22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 ht="29" thickBot="1">
      <c r="A89" s="2" t="s">
        <v>47</v>
      </c>
      <c r="B89" s="3" t="s">
        <v>20</v>
      </c>
      <c r="C89" s="2" t="s">
        <v>31</v>
      </c>
      <c r="D89" s="2" t="s">
        <v>22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 ht="29" thickBot="1">
      <c r="A90" s="2" t="s">
        <v>48</v>
      </c>
      <c r="B90" s="3" t="s">
        <v>15</v>
      </c>
      <c r="C90" s="2" t="s">
        <v>28</v>
      </c>
      <c r="D90" s="2" t="s">
        <v>32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 ht="29" thickBot="1">
      <c r="A91" s="2" t="s">
        <v>48</v>
      </c>
      <c r="B91" s="3" t="s">
        <v>18</v>
      </c>
      <c r="C91" s="2" t="s">
        <v>28</v>
      </c>
      <c r="D91" s="2" t="s">
        <v>32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 ht="29" thickBot="1">
      <c r="A92" s="2" t="s">
        <v>48</v>
      </c>
      <c r="B92" s="3" t="s">
        <v>19</v>
      </c>
      <c r="C92" s="2" t="s">
        <v>28</v>
      </c>
      <c r="D92" s="2" t="s">
        <v>32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 ht="29" thickBot="1">
      <c r="A93" s="2" t="s">
        <v>48</v>
      </c>
      <c r="B93" s="3" t="s">
        <v>20</v>
      </c>
      <c r="C93" s="2" t="s">
        <v>28</v>
      </c>
      <c r="D93" s="2" t="s">
        <v>32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 ht="29" thickBot="1">
      <c r="A94" s="2" t="s">
        <v>49</v>
      </c>
      <c r="B94" s="3" t="s">
        <v>15</v>
      </c>
      <c r="C94" s="2" t="s">
        <v>31</v>
      </c>
      <c r="D94" s="2" t="s">
        <v>17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 ht="29" thickBot="1">
      <c r="A95" s="2" t="s">
        <v>49</v>
      </c>
      <c r="B95" s="3" t="s">
        <v>18</v>
      </c>
      <c r="C95" s="2" t="s">
        <v>31</v>
      </c>
      <c r="D95" s="2" t="s">
        <v>17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 ht="29" thickBot="1">
      <c r="A96" s="2" t="s">
        <v>49</v>
      </c>
      <c r="B96" s="3" t="s">
        <v>19</v>
      </c>
      <c r="C96" s="2" t="s">
        <v>31</v>
      </c>
      <c r="D96" s="2" t="s">
        <v>17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 ht="29" thickBot="1">
      <c r="A97" s="2" t="s">
        <v>49</v>
      </c>
      <c r="B97" s="3" t="s">
        <v>20</v>
      </c>
      <c r="C97" s="2" t="s">
        <v>31</v>
      </c>
      <c r="D97" s="2" t="s">
        <v>17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 ht="29" thickBot="1">
      <c r="A98" s="2" t="s">
        <v>50</v>
      </c>
      <c r="B98" s="3" t="s">
        <v>15</v>
      </c>
      <c r="C98" s="2" t="s">
        <v>31</v>
      </c>
      <c r="D98" s="2" t="s">
        <v>32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 ht="29" thickBot="1">
      <c r="A99" s="2" t="s">
        <v>50</v>
      </c>
      <c r="B99" s="3" t="s">
        <v>18</v>
      </c>
      <c r="C99" s="2" t="s">
        <v>31</v>
      </c>
      <c r="D99" s="2" t="s">
        <v>32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 ht="44" customHeight="1" thickBot="1">
      <c r="A100" s="2" t="s">
        <v>50</v>
      </c>
      <c r="B100" s="3" t="s">
        <v>19</v>
      </c>
      <c r="C100" s="2" t="s">
        <v>31</v>
      </c>
      <c r="D100" s="2" t="s">
        <v>32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2">
        <v>4.55</v>
      </c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 ht="29" thickBot="1">
      <c r="A101" s="2" t="s">
        <v>50</v>
      </c>
      <c r="B101" s="3" t="s">
        <v>20</v>
      </c>
      <c r="C101" s="2" t="s">
        <v>31</v>
      </c>
      <c r="D101" s="2" t="s">
        <v>32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 ht="29" thickBot="1">
      <c r="A102" s="2" t="s">
        <v>51</v>
      </c>
      <c r="B102" s="3" t="s">
        <v>15</v>
      </c>
      <c r="C102" s="2" t="s">
        <v>16</v>
      </c>
      <c r="D102" s="2" t="s">
        <v>32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 ht="29" thickBot="1">
      <c r="A103" s="2" t="s">
        <v>51</v>
      </c>
      <c r="B103" s="3" t="s">
        <v>18</v>
      </c>
      <c r="C103" s="2" t="s">
        <v>16</v>
      </c>
      <c r="D103" s="2" t="s">
        <v>32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 ht="29" thickBot="1">
      <c r="A104" s="2" t="s">
        <v>51</v>
      </c>
      <c r="B104" s="3" t="s">
        <v>19</v>
      </c>
      <c r="C104" s="2" t="s">
        <v>16</v>
      </c>
      <c r="D104" s="2" t="s">
        <v>32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 ht="29" thickBot="1">
      <c r="A105" s="2" t="s">
        <v>51</v>
      </c>
      <c r="B105" s="3" t="s">
        <v>20</v>
      </c>
      <c r="C105" s="2" t="s">
        <v>16</v>
      </c>
      <c r="D105" s="2" t="s">
        <v>32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 ht="29" thickBot="1">
      <c r="A106" s="2" t="s">
        <v>52</v>
      </c>
      <c r="B106" s="3" t="s">
        <v>15</v>
      </c>
      <c r="C106" s="2" t="s">
        <v>31</v>
      </c>
      <c r="D106" s="2" t="s">
        <v>22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 ht="29" thickBot="1">
      <c r="A107" s="2" t="s">
        <v>52</v>
      </c>
      <c r="B107" s="3" t="s">
        <v>18</v>
      </c>
      <c r="C107" s="2" t="s">
        <v>31</v>
      </c>
      <c r="D107" s="2" t="s">
        <v>22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 ht="29" thickBot="1">
      <c r="A108" s="2" t="s">
        <v>52</v>
      </c>
      <c r="B108" s="3" t="s">
        <v>19</v>
      </c>
      <c r="C108" s="2" t="s">
        <v>31</v>
      </c>
      <c r="D108" s="2" t="s">
        <v>22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 ht="29" thickBot="1">
      <c r="A109" s="2" t="s">
        <v>52</v>
      </c>
      <c r="B109" s="3" t="s">
        <v>20</v>
      </c>
      <c r="C109" s="2" t="s">
        <v>31</v>
      </c>
      <c r="D109" s="2" t="s">
        <v>22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 ht="29" thickBot="1">
      <c r="A110" s="2" t="s">
        <v>53</v>
      </c>
      <c r="B110" s="3" t="s">
        <v>15</v>
      </c>
      <c r="C110" s="2" t="s">
        <v>16</v>
      </c>
      <c r="D110" s="2" t="s">
        <v>32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 ht="29" thickBot="1">
      <c r="A111" s="2" t="s">
        <v>53</v>
      </c>
      <c r="B111" s="3" t="s">
        <v>18</v>
      </c>
      <c r="C111" s="2" t="s">
        <v>16</v>
      </c>
      <c r="D111" s="2" t="s">
        <v>32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 ht="29" thickBot="1">
      <c r="A112" s="2" t="s">
        <v>53</v>
      </c>
      <c r="B112" s="3" t="s">
        <v>19</v>
      </c>
      <c r="C112" s="2" t="s">
        <v>16</v>
      </c>
      <c r="D112" s="2" t="s">
        <v>32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 ht="29" thickBot="1">
      <c r="A113" s="2" t="s">
        <v>53</v>
      </c>
      <c r="B113" s="3" t="s">
        <v>20</v>
      </c>
      <c r="C113" s="2" t="s">
        <v>16</v>
      </c>
      <c r="D113" s="2" t="s">
        <v>32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 ht="29" thickBot="1">
      <c r="A114" s="2" t="s">
        <v>54</v>
      </c>
      <c r="B114" s="3" t="s">
        <v>15</v>
      </c>
      <c r="C114" s="2" t="s">
        <v>31</v>
      </c>
      <c r="D114" s="2" t="s">
        <v>32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 ht="29" thickBot="1">
      <c r="A115" s="2" t="s">
        <v>54</v>
      </c>
      <c r="B115" s="3" t="s">
        <v>18</v>
      </c>
      <c r="C115" s="2" t="s">
        <v>31</v>
      </c>
      <c r="D115" s="2" t="s">
        <v>32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 ht="29" thickBot="1">
      <c r="A116" s="2" t="s">
        <v>54</v>
      </c>
      <c r="B116" s="3" t="s">
        <v>19</v>
      </c>
      <c r="C116" s="2" t="s">
        <v>31</v>
      </c>
      <c r="D116" s="2" t="s">
        <v>32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 ht="29" thickBot="1">
      <c r="A117" s="2" t="s">
        <v>54</v>
      </c>
      <c r="B117" s="3" t="s">
        <v>20</v>
      </c>
      <c r="C117" s="2" t="s">
        <v>31</v>
      </c>
      <c r="D117" s="2" t="s">
        <v>32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 ht="29" thickBot="1">
      <c r="A118" s="2" t="s">
        <v>55</v>
      </c>
      <c r="B118" s="3" t="s">
        <v>15</v>
      </c>
      <c r="C118" s="2" t="s">
        <v>31</v>
      </c>
      <c r="D118" s="2" t="s">
        <v>17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 ht="29" thickBot="1">
      <c r="A119" s="2" t="s">
        <v>55</v>
      </c>
      <c r="B119" s="3" t="s">
        <v>18</v>
      </c>
      <c r="C119" s="2" t="s">
        <v>31</v>
      </c>
      <c r="D119" s="2" t="s">
        <v>17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 ht="29" thickBot="1">
      <c r="A120" s="2" t="s">
        <v>55</v>
      </c>
      <c r="B120" s="3" t="s">
        <v>19</v>
      </c>
      <c r="C120" s="2" t="s">
        <v>31</v>
      </c>
      <c r="D120" s="2" t="s">
        <v>17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 ht="29" thickBot="1">
      <c r="A121" s="2" t="s">
        <v>55</v>
      </c>
      <c r="B121" s="3" t="s">
        <v>20</v>
      </c>
      <c r="C121" s="2" t="s">
        <v>31</v>
      </c>
      <c r="D121" s="2" t="s">
        <v>17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 ht="29" thickBot="1">
      <c r="A122" s="2" t="s">
        <v>56</v>
      </c>
      <c r="B122" s="3" t="s">
        <v>15</v>
      </c>
      <c r="C122" s="2" t="s">
        <v>24</v>
      </c>
      <c r="D122" s="2" t="s">
        <v>22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 ht="29" thickBot="1">
      <c r="A123" s="2" t="s">
        <v>56</v>
      </c>
      <c r="B123" s="3" t="s">
        <v>18</v>
      </c>
      <c r="C123" s="2" t="s">
        <v>24</v>
      </c>
      <c r="D123" s="2" t="s">
        <v>22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 ht="29" thickBot="1">
      <c r="A124" s="2" t="s">
        <v>56</v>
      </c>
      <c r="B124" s="3" t="s">
        <v>19</v>
      </c>
      <c r="C124" s="2" t="s">
        <v>24</v>
      </c>
      <c r="D124" s="2" t="s">
        <v>22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 ht="29" thickBot="1">
      <c r="A125" s="2" t="s">
        <v>56</v>
      </c>
      <c r="B125" s="3" t="s">
        <v>20</v>
      </c>
      <c r="C125" s="2" t="s">
        <v>24</v>
      </c>
      <c r="D125" s="2" t="s">
        <v>22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 ht="29" thickBot="1">
      <c r="A126" s="2" t="s">
        <v>57</v>
      </c>
      <c r="B126" s="3" t="s">
        <v>15</v>
      </c>
      <c r="C126" s="2" t="s">
        <v>28</v>
      </c>
      <c r="D126" s="2" t="s">
        <v>22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 ht="29" thickBot="1">
      <c r="A127" s="2" t="s">
        <v>57</v>
      </c>
      <c r="B127" s="3" t="s">
        <v>18</v>
      </c>
      <c r="C127" s="2" t="s">
        <v>28</v>
      </c>
      <c r="D127" s="2" t="s">
        <v>22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 ht="29" thickBot="1">
      <c r="A128" s="2" t="s">
        <v>57</v>
      </c>
      <c r="B128" s="3" t="s">
        <v>19</v>
      </c>
      <c r="C128" s="2" t="s">
        <v>28</v>
      </c>
      <c r="D128" s="2" t="s">
        <v>22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 ht="29" thickBot="1">
      <c r="A129" s="2" t="s">
        <v>57</v>
      </c>
      <c r="B129" s="3" t="s">
        <v>20</v>
      </c>
      <c r="C129" s="2" t="s">
        <v>28</v>
      </c>
      <c r="D129" s="2" t="s">
        <v>22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 ht="29" thickBot="1">
      <c r="A130" s="2" t="s">
        <v>58</v>
      </c>
      <c r="B130" s="3" t="s">
        <v>15</v>
      </c>
      <c r="C130" s="2" t="s">
        <v>16</v>
      </c>
      <c r="D130" s="2" t="s">
        <v>22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 ht="29" thickBot="1">
      <c r="A131" s="2" t="s">
        <v>58</v>
      </c>
      <c r="B131" s="3" t="s">
        <v>18</v>
      </c>
      <c r="C131" s="2" t="s">
        <v>16</v>
      </c>
      <c r="D131" s="2" t="s">
        <v>22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 ht="29" thickBot="1">
      <c r="A132" s="2" t="s">
        <v>58</v>
      </c>
      <c r="B132" s="3" t="s">
        <v>19</v>
      </c>
      <c r="C132" s="2" t="s">
        <v>16</v>
      </c>
      <c r="D132" s="2" t="s">
        <v>22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 ht="29" thickBot="1">
      <c r="A133" s="2" t="s">
        <v>58</v>
      </c>
      <c r="B133" s="3" t="s">
        <v>20</v>
      </c>
      <c r="C133" s="2" t="s">
        <v>16</v>
      </c>
      <c r="D133" s="2" t="s">
        <v>22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 ht="29" thickBot="1">
      <c r="A134" s="2" t="s">
        <v>59</v>
      </c>
      <c r="B134" s="3" t="s">
        <v>15</v>
      </c>
      <c r="C134" s="2" t="s">
        <v>24</v>
      </c>
      <c r="D134" s="2" t="s">
        <v>22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 ht="32" customHeight="1" thickBot="1">
      <c r="A135" s="2" t="s">
        <v>59</v>
      </c>
      <c r="B135" s="3" t="s">
        <v>18</v>
      </c>
      <c r="C135" s="2" t="s">
        <v>24</v>
      </c>
      <c r="D135" s="2" t="s">
        <v>22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2">
        <v>3.9</v>
      </c>
      <c r="M135" s="3">
        <v>400831.65</v>
      </c>
      <c r="N135" s="3">
        <v>70979.31</v>
      </c>
    </row>
    <row r="136" spans="1:14" ht="29" thickBot="1">
      <c r="A136" s="2" t="s">
        <v>59</v>
      </c>
      <c r="B136" s="3" t="s">
        <v>19</v>
      </c>
      <c r="C136" s="2" t="s">
        <v>24</v>
      </c>
      <c r="D136" s="2" t="s">
        <v>22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 ht="29" thickBot="1">
      <c r="A137" s="2" t="s">
        <v>59</v>
      </c>
      <c r="B137" s="3" t="s">
        <v>20</v>
      </c>
      <c r="C137" s="2" t="s">
        <v>24</v>
      </c>
      <c r="D137" s="2" t="s">
        <v>22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 ht="29.5" customHeight="1" thickBot="1">
      <c r="A138" s="2" t="s">
        <v>60</v>
      </c>
      <c r="B138" s="3" t="s">
        <v>15</v>
      </c>
      <c r="C138" s="2" t="s">
        <v>28</v>
      </c>
      <c r="D138" s="2" t="s">
        <v>17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2">
        <v>3.9</v>
      </c>
      <c r="M138" s="3">
        <v>633638.03</v>
      </c>
      <c r="N138" s="3">
        <v>99402.01</v>
      </c>
    </row>
    <row r="139" spans="1:14" ht="29" thickBot="1">
      <c r="A139" s="2" t="s">
        <v>60</v>
      </c>
      <c r="B139" s="3" t="s">
        <v>18</v>
      </c>
      <c r="C139" s="2" t="s">
        <v>28</v>
      </c>
      <c r="D139" s="2" t="s">
        <v>17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 ht="29" thickBot="1">
      <c r="A140" s="2" t="s">
        <v>60</v>
      </c>
      <c r="B140" s="3" t="s">
        <v>19</v>
      </c>
      <c r="C140" s="2" t="s">
        <v>28</v>
      </c>
      <c r="D140" s="2" t="s">
        <v>17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 ht="29" thickBot="1">
      <c r="A141" s="2" t="s">
        <v>60</v>
      </c>
      <c r="B141" s="3" t="s">
        <v>20</v>
      </c>
      <c r="C141" s="2" t="s">
        <v>28</v>
      </c>
      <c r="D141" s="2" t="s">
        <v>17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 ht="29" thickBot="1">
      <c r="A142" s="2" t="s">
        <v>61</v>
      </c>
      <c r="B142" s="3" t="s">
        <v>15</v>
      </c>
      <c r="C142" s="2" t="s">
        <v>31</v>
      </c>
      <c r="D142" s="2" t="s">
        <v>22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 ht="29" thickBot="1">
      <c r="A143" s="2" t="s">
        <v>61</v>
      </c>
      <c r="B143" s="3" t="s">
        <v>18</v>
      </c>
      <c r="C143" s="2" t="s">
        <v>31</v>
      </c>
      <c r="D143" s="2" t="s">
        <v>22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 ht="29" thickBot="1">
      <c r="A144" s="2" t="s">
        <v>61</v>
      </c>
      <c r="B144" s="3" t="s">
        <v>19</v>
      </c>
      <c r="C144" s="2" t="s">
        <v>31</v>
      </c>
      <c r="D144" s="2" t="s">
        <v>22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 ht="29" thickBot="1">
      <c r="A145" s="2" t="s">
        <v>61</v>
      </c>
      <c r="B145" s="3" t="s">
        <v>20</v>
      </c>
      <c r="C145" s="2" t="s">
        <v>31</v>
      </c>
      <c r="D145" s="2" t="s">
        <v>22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 ht="29" thickBot="1">
      <c r="A146" s="2" t="s">
        <v>62</v>
      </c>
      <c r="B146" s="3" t="s">
        <v>15</v>
      </c>
      <c r="C146" s="2" t="s">
        <v>24</v>
      </c>
      <c r="D146" s="2" t="s">
        <v>17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 ht="29" thickBot="1">
      <c r="A147" s="2" t="s">
        <v>62</v>
      </c>
      <c r="B147" s="3" t="s">
        <v>18</v>
      </c>
      <c r="C147" s="2" t="s">
        <v>24</v>
      </c>
      <c r="D147" s="2" t="s">
        <v>17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 ht="29" thickBot="1">
      <c r="A148" s="2" t="s">
        <v>62</v>
      </c>
      <c r="B148" s="3" t="s">
        <v>19</v>
      </c>
      <c r="C148" s="2" t="s">
        <v>24</v>
      </c>
      <c r="D148" s="2" t="s">
        <v>17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 ht="29" thickBot="1">
      <c r="A149" s="2" t="s">
        <v>62</v>
      </c>
      <c r="B149" s="3" t="s">
        <v>20</v>
      </c>
      <c r="C149" s="2" t="s">
        <v>24</v>
      </c>
      <c r="D149" s="2" t="s">
        <v>17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 ht="29" thickBot="1">
      <c r="A150" s="2" t="s">
        <v>63</v>
      </c>
      <c r="B150" s="3" t="s">
        <v>15</v>
      </c>
      <c r="C150" s="2" t="s">
        <v>28</v>
      </c>
      <c r="D150" s="2" t="s">
        <v>32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 ht="29" thickBot="1">
      <c r="A151" s="2" t="s">
        <v>63</v>
      </c>
      <c r="B151" s="3" t="s">
        <v>18</v>
      </c>
      <c r="C151" s="2" t="s">
        <v>28</v>
      </c>
      <c r="D151" s="2" t="s">
        <v>32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 ht="29" thickBot="1">
      <c r="A152" s="2" t="s">
        <v>63</v>
      </c>
      <c r="B152" s="3" t="s">
        <v>19</v>
      </c>
      <c r="C152" s="2" t="s">
        <v>28</v>
      </c>
      <c r="D152" s="2" t="s">
        <v>32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 ht="29" thickBot="1">
      <c r="A153" s="2" t="s">
        <v>63</v>
      </c>
      <c r="B153" s="3" t="s">
        <v>20</v>
      </c>
      <c r="C153" s="2" t="s">
        <v>28</v>
      </c>
      <c r="D153" s="2" t="s">
        <v>32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 ht="29" thickBot="1">
      <c r="A154" s="2" t="s">
        <v>64</v>
      </c>
      <c r="B154" s="3" t="s">
        <v>15</v>
      </c>
      <c r="C154" s="2" t="s">
        <v>16</v>
      </c>
      <c r="D154" s="2" t="s">
        <v>22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 ht="29" thickBot="1">
      <c r="A155" s="2" t="s">
        <v>64</v>
      </c>
      <c r="B155" s="3" t="s">
        <v>18</v>
      </c>
      <c r="C155" s="2" t="s">
        <v>16</v>
      </c>
      <c r="D155" s="2" t="s">
        <v>22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 ht="29" thickBot="1">
      <c r="A156" s="2" t="s">
        <v>64</v>
      </c>
      <c r="B156" s="3" t="s">
        <v>19</v>
      </c>
      <c r="C156" s="2" t="s">
        <v>16</v>
      </c>
      <c r="D156" s="2" t="s">
        <v>22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 ht="29" thickBot="1">
      <c r="A157" s="2" t="s">
        <v>64</v>
      </c>
      <c r="B157" s="3" t="s">
        <v>20</v>
      </c>
      <c r="C157" s="2" t="s">
        <v>16</v>
      </c>
      <c r="D157" s="2" t="s">
        <v>22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 ht="29" thickBot="1">
      <c r="A158" s="2" t="s">
        <v>65</v>
      </c>
      <c r="B158" s="3" t="s">
        <v>15</v>
      </c>
      <c r="C158" s="2" t="s">
        <v>24</v>
      </c>
      <c r="D158" s="2" t="s">
        <v>32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 ht="29" thickBot="1">
      <c r="A159" s="2" t="s">
        <v>65</v>
      </c>
      <c r="B159" s="3" t="s">
        <v>18</v>
      </c>
      <c r="C159" s="2" t="s">
        <v>24</v>
      </c>
      <c r="D159" s="2" t="s">
        <v>32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 ht="29" thickBot="1">
      <c r="A160" s="2" t="s">
        <v>65</v>
      </c>
      <c r="B160" s="3" t="s">
        <v>19</v>
      </c>
      <c r="C160" s="2" t="s">
        <v>24</v>
      </c>
      <c r="D160" s="2" t="s">
        <v>32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 ht="29" thickBot="1">
      <c r="A161" s="2" t="s">
        <v>65</v>
      </c>
      <c r="B161" s="3" t="s">
        <v>20</v>
      </c>
      <c r="C161" s="2" t="s">
        <v>24</v>
      </c>
      <c r="D161" s="2" t="s">
        <v>32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 ht="29" thickBot="1">
      <c r="A162" s="2" t="s">
        <v>66</v>
      </c>
      <c r="B162" s="3" t="s">
        <v>15</v>
      </c>
      <c r="C162" s="2" t="s">
        <v>28</v>
      </c>
      <c r="D162" s="2" t="s">
        <v>22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 ht="29" thickBot="1">
      <c r="A163" s="2" t="s">
        <v>66</v>
      </c>
      <c r="B163" s="3" t="s">
        <v>18</v>
      </c>
      <c r="C163" s="2" t="s">
        <v>28</v>
      </c>
      <c r="D163" s="2" t="s">
        <v>22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 ht="39" customHeight="1" thickBot="1">
      <c r="A164" s="2" t="s">
        <v>66</v>
      </c>
      <c r="B164" s="3" t="s">
        <v>19</v>
      </c>
      <c r="C164" s="2" t="s">
        <v>28</v>
      </c>
      <c r="D164" s="2" t="s">
        <v>22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2">
        <v>4.55</v>
      </c>
      <c r="K164" s="3">
        <v>0</v>
      </c>
      <c r="L164" s="3">
        <v>4.2</v>
      </c>
      <c r="M164" s="3">
        <v>677096.71</v>
      </c>
      <c r="N164" s="3">
        <v>97174.11</v>
      </c>
    </row>
    <row r="165" spans="1:14" ht="29" thickBot="1">
      <c r="A165" s="2" t="s">
        <v>66</v>
      </c>
      <c r="B165" s="3" t="s">
        <v>20</v>
      </c>
      <c r="C165" s="2" t="s">
        <v>28</v>
      </c>
      <c r="D165" s="2" t="s">
        <v>22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 ht="29" thickBot="1">
      <c r="A166" s="2" t="s">
        <v>67</v>
      </c>
      <c r="B166" s="3" t="s">
        <v>15</v>
      </c>
      <c r="C166" s="2" t="s">
        <v>24</v>
      </c>
      <c r="D166" s="2" t="s">
        <v>32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 ht="29" thickBot="1">
      <c r="A167" s="2" t="s">
        <v>67</v>
      </c>
      <c r="B167" s="3" t="s">
        <v>18</v>
      </c>
      <c r="C167" s="2" t="s">
        <v>24</v>
      </c>
      <c r="D167" s="2" t="s">
        <v>32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 ht="29" thickBot="1">
      <c r="A168" s="2" t="s">
        <v>67</v>
      </c>
      <c r="B168" s="3" t="s">
        <v>19</v>
      </c>
      <c r="C168" s="2" t="s">
        <v>24</v>
      </c>
      <c r="D168" s="2" t="s">
        <v>32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 ht="29" thickBot="1">
      <c r="A169" s="2" t="s">
        <v>67</v>
      </c>
      <c r="B169" s="3" t="s">
        <v>20</v>
      </c>
      <c r="C169" s="2" t="s">
        <v>24</v>
      </c>
      <c r="D169" s="2" t="s">
        <v>32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 ht="29" thickBot="1">
      <c r="A170" s="2" t="s">
        <v>68</v>
      </c>
      <c r="B170" s="3" t="s">
        <v>15</v>
      </c>
      <c r="C170" s="2" t="s">
        <v>16</v>
      </c>
      <c r="D170" s="2" t="s">
        <v>17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 ht="29" thickBot="1">
      <c r="A171" s="2" t="s">
        <v>68</v>
      </c>
      <c r="B171" s="3" t="s">
        <v>18</v>
      </c>
      <c r="C171" s="2" t="s">
        <v>16</v>
      </c>
      <c r="D171" s="2" t="s">
        <v>17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 ht="29" thickBot="1">
      <c r="A172" s="2" t="s">
        <v>68</v>
      </c>
      <c r="B172" s="3" t="s">
        <v>19</v>
      </c>
      <c r="C172" s="2" t="s">
        <v>16</v>
      </c>
      <c r="D172" s="2" t="s">
        <v>17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 ht="29" thickBot="1">
      <c r="A173" s="2" t="s">
        <v>68</v>
      </c>
      <c r="B173" s="3" t="s">
        <v>20</v>
      </c>
      <c r="C173" s="2" t="s">
        <v>16</v>
      </c>
      <c r="D173" s="2" t="s">
        <v>17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 ht="29" thickBot="1">
      <c r="A174" s="2" t="s">
        <v>69</v>
      </c>
      <c r="B174" s="3" t="s">
        <v>15</v>
      </c>
      <c r="C174" s="2" t="s">
        <v>16</v>
      </c>
      <c r="D174" s="2" t="s">
        <v>17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 ht="29" thickBot="1">
      <c r="A175" s="2" t="s">
        <v>69</v>
      </c>
      <c r="B175" s="3" t="s">
        <v>18</v>
      </c>
      <c r="C175" s="2" t="s">
        <v>16</v>
      </c>
      <c r="D175" s="2" t="s">
        <v>17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 ht="29" thickBot="1">
      <c r="A176" s="2" t="s">
        <v>69</v>
      </c>
      <c r="B176" s="3" t="s">
        <v>19</v>
      </c>
      <c r="C176" s="2" t="s">
        <v>16</v>
      </c>
      <c r="D176" s="2" t="s">
        <v>17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 ht="29" thickBot="1">
      <c r="A177" s="2" t="s">
        <v>69</v>
      </c>
      <c r="B177" s="3" t="s">
        <v>20</v>
      </c>
      <c r="C177" s="2" t="s">
        <v>16</v>
      </c>
      <c r="D177" s="2" t="s">
        <v>17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 ht="29" thickBot="1">
      <c r="A178" s="2" t="s">
        <v>70</v>
      </c>
      <c r="B178" s="3" t="s">
        <v>15</v>
      </c>
      <c r="C178" s="2" t="s">
        <v>31</v>
      </c>
      <c r="D178" s="2" t="s">
        <v>25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 ht="29" thickBot="1">
      <c r="A179" s="2" t="s">
        <v>70</v>
      </c>
      <c r="B179" s="3" t="s">
        <v>18</v>
      </c>
      <c r="C179" s="2" t="s">
        <v>31</v>
      </c>
      <c r="D179" s="2" t="s">
        <v>25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 ht="29" thickBot="1">
      <c r="A180" s="2" t="s">
        <v>70</v>
      </c>
      <c r="B180" s="3" t="s">
        <v>19</v>
      </c>
      <c r="C180" s="2" t="s">
        <v>31</v>
      </c>
      <c r="D180" s="2" t="s">
        <v>25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 ht="29" thickBot="1">
      <c r="A181" s="2" t="s">
        <v>70</v>
      </c>
      <c r="B181" s="3" t="s">
        <v>20</v>
      </c>
      <c r="C181" s="2" t="s">
        <v>31</v>
      </c>
      <c r="D181" s="2" t="s">
        <v>25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 ht="29" thickBot="1">
      <c r="A182" s="2" t="s">
        <v>71</v>
      </c>
      <c r="B182" s="3" t="s">
        <v>15</v>
      </c>
      <c r="C182" s="2" t="s">
        <v>31</v>
      </c>
      <c r="D182" s="2" t="s">
        <v>17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 ht="29" thickBot="1">
      <c r="A183" s="2" t="s">
        <v>71</v>
      </c>
      <c r="B183" s="3" t="s">
        <v>18</v>
      </c>
      <c r="C183" s="2" t="s">
        <v>31</v>
      </c>
      <c r="D183" s="2" t="s">
        <v>17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 ht="29" thickBot="1">
      <c r="A184" s="2" t="s">
        <v>71</v>
      </c>
      <c r="B184" s="3" t="s">
        <v>19</v>
      </c>
      <c r="C184" s="2" t="s">
        <v>31</v>
      </c>
      <c r="D184" s="2" t="s">
        <v>17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 ht="29" thickBot="1">
      <c r="A185" s="2" t="s">
        <v>71</v>
      </c>
      <c r="B185" s="3" t="s">
        <v>20</v>
      </c>
      <c r="C185" s="2" t="s">
        <v>31</v>
      </c>
      <c r="D185" s="2" t="s">
        <v>17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 ht="29" thickBot="1">
      <c r="A186" s="2" t="s">
        <v>72</v>
      </c>
      <c r="B186" s="3" t="s">
        <v>15</v>
      </c>
      <c r="C186" s="2" t="s">
        <v>24</v>
      </c>
      <c r="D186" s="2" t="s">
        <v>22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 ht="29" thickBot="1">
      <c r="A187" s="2" t="s">
        <v>72</v>
      </c>
      <c r="B187" s="3" t="s">
        <v>18</v>
      </c>
      <c r="C187" s="2" t="s">
        <v>24</v>
      </c>
      <c r="D187" s="2" t="s">
        <v>22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 ht="29" thickBot="1">
      <c r="A188" s="2" t="s">
        <v>72</v>
      </c>
      <c r="B188" s="3" t="s">
        <v>19</v>
      </c>
      <c r="C188" s="2" t="s">
        <v>24</v>
      </c>
      <c r="D188" s="2" t="s">
        <v>22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 ht="29" thickBot="1">
      <c r="A189" s="2" t="s">
        <v>72</v>
      </c>
      <c r="B189" s="3" t="s">
        <v>20</v>
      </c>
      <c r="C189" s="2" t="s">
        <v>24</v>
      </c>
      <c r="D189" s="2" t="s">
        <v>22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 ht="29" thickBot="1">
      <c r="A190" s="2" t="s">
        <v>73</v>
      </c>
      <c r="B190" s="3" t="s">
        <v>15</v>
      </c>
      <c r="C190" s="2" t="s">
        <v>16</v>
      </c>
      <c r="D190" s="2" t="s">
        <v>22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 ht="29" thickBot="1">
      <c r="A191" s="2" t="s">
        <v>73</v>
      </c>
      <c r="B191" s="3" t="s">
        <v>18</v>
      </c>
      <c r="C191" s="2" t="s">
        <v>16</v>
      </c>
      <c r="D191" s="2" t="s">
        <v>22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 ht="29" thickBot="1">
      <c r="A192" s="2" t="s">
        <v>73</v>
      </c>
      <c r="B192" s="3" t="s">
        <v>19</v>
      </c>
      <c r="C192" s="2" t="s">
        <v>16</v>
      </c>
      <c r="D192" s="2" t="s">
        <v>22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 ht="29" thickBot="1">
      <c r="A193" s="2" t="s">
        <v>73</v>
      </c>
      <c r="B193" s="3" t="s">
        <v>20</v>
      </c>
      <c r="C193" s="2" t="s">
        <v>16</v>
      </c>
      <c r="D193" s="2" t="s">
        <v>22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 ht="29" thickBot="1">
      <c r="A194" s="2" t="s">
        <v>74</v>
      </c>
      <c r="B194" s="3" t="s">
        <v>15</v>
      </c>
      <c r="C194" s="2" t="s">
        <v>31</v>
      </c>
      <c r="D194" s="2" t="s">
        <v>17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 ht="29" thickBot="1">
      <c r="A195" s="2" t="s">
        <v>74</v>
      </c>
      <c r="B195" s="3" t="s">
        <v>18</v>
      </c>
      <c r="C195" s="2" t="s">
        <v>31</v>
      </c>
      <c r="D195" s="2" t="s">
        <v>17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 ht="29" thickBot="1">
      <c r="A196" s="2" t="s">
        <v>74</v>
      </c>
      <c r="B196" s="3" t="s">
        <v>19</v>
      </c>
      <c r="C196" s="2" t="s">
        <v>31</v>
      </c>
      <c r="D196" s="2" t="s">
        <v>17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 ht="29" thickBot="1">
      <c r="A197" s="2" t="s">
        <v>74</v>
      </c>
      <c r="B197" s="3" t="s">
        <v>20</v>
      </c>
      <c r="C197" s="2" t="s">
        <v>31</v>
      </c>
      <c r="D197" s="2" t="s">
        <v>17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2"/>
      <c r="M197" s="3">
        <v>449465.06</v>
      </c>
      <c r="N197" s="3">
        <v>65694.78</v>
      </c>
    </row>
    <row r="198" spans="1:14" ht="29" thickBot="1">
      <c r="A198" s="2" t="s">
        <v>75</v>
      </c>
      <c r="B198" s="3" t="s">
        <v>15</v>
      </c>
      <c r="C198" s="2" t="s">
        <v>24</v>
      </c>
      <c r="D198" s="2" t="s">
        <v>17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 ht="29" thickBot="1">
      <c r="A199" s="2" t="s">
        <v>75</v>
      </c>
      <c r="B199" s="3" t="s">
        <v>18</v>
      </c>
      <c r="C199" s="2" t="s">
        <v>24</v>
      </c>
      <c r="D199" s="2" t="s">
        <v>17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 ht="29" thickBot="1">
      <c r="A200" s="2" t="s">
        <v>75</v>
      </c>
      <c r="B200" s="3" t="s">
        <v>19</v>
      </c>
      <c r="C200" s="2" t="s">
        <v>24</v>
      </c>
      <c r="D200" s="2" t="s">
        <v>17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 ht="29" thickBot="1">
      <c r="A201" s="2" t="s">
        <v>75</v>
      </c>
      <c r="B201" s="3" t="s">
        <v>20</v>
      </c>
      <c r="C201" s="2" t="s">
        <v>24</v>
      </c>
      <c r="D201" s="2" t="s">
        <v>17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 ht="29" thickBot="1">
      <c r="A202" s="2" t="s">
        <v>76</v>
      </c>
      <c r="B202" s="3" t="s">
        <v>15</v>
      </c>
      <c r="C202" s="2" t="s">
        <v>16</v>
      </c>
      <c r="D202" s="2" t="s">
        <v>25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 ht="29" thickBot="1">
      <c r="A203" s="2" t="s">
        <v>76</v>
      </c>
      <c r="B203" s="3" t="s">
        <v>18</v>
      </c>
      <c r="C203" s="2" t="s">
        <v>16</v>
      </c>
      <c r="D203" s="2" t="s">
        <v>25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 ht="29" thickBot="1">
      <c r="A204" s="2" t="s">
        <v>76</v>
      </c>
      <c r="B204" s="3" t="s">
        <v>19</v>
      </c>
      <c r="C204" s="2" t="s">
        <v>16</v>
      </c>
      <c r="D204" s="2" t="s">
        <v>25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 ht="29" thickBot="1">
      <c r="A205" s="2" t="s">
        <v>76</v>
      </c>
      <c r="B205" s="3" t="s">
        <v>20</v>
      </c>
      <c r="C205" s="2" t="s">
        <v>16</v>
      </c>
      <c r="D205" s="2" t="s">
        <v>25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 ht="29" thickBot="1">
      <c r="A206" s="2" t="s">
        <v>77</v>
      </c>
      <c r="B206" s="3" t="s">
        <v>15</v>
      </c>
      <c r="C206" s="2" t="s">
        <v>16</v>
      </c>
      <c r="D206" s="2" t="s">
        <v>32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 ht="29" thickBot="1">
      <c r="A207" s="2" t="s">
        <v>77</v>
      </c>
      <c r="B207" s="3" t="s">
        <v>18</v>
      </c>
      <c r="C207" s="2" t="s">
        <v>16</v>
      </c>
      <c r="D207" s="2" t="s">
        <v>32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 ht="29" thickBot="1">
      <c r="A208" s="2" t="s">
        <v>77</v>
      </c>
      <c r="B208" s="3" t="s">
        <v>19</v>
      </c>
      <c r="C208" s="2" t="s">
        <v>16</v>
      </c>
      <c r="D208" s="2" t="s">
        <v>32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 ht="29" thickBot="1">
      <c r="A209" s="2" t="s">
        <v>77</v>
      </c>
      <c r="B209" s="3" t="s">
        <v>20</v>
      </c>
      <c r="C209" s="2" t="s">
        <v>16</v>
      </c>
      <c r="D209" s="2" t="s">
        <v>32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 ht="29" thickBot="1">
      <c r="A210" s="2" t="s">
        <v>78</v>
      </c>
      <c r="B210" s="3" t="s">
        <v>15</v>
      </c>
      <c r="C210" s="2" t="s">
        <v>16</v>
      </c>
      <c r="D210" s="2" t="s">
        <v>22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 ht="29" thickBot="1">
      <c r="A211" s="2" t="s">
        <v>78</v>
      </c>
      <c r="B211" s="3" t="s">
        <v>18</v>
      </c>
      <c r="C211" s="2" t="s">
        <v>16</v>
      </c>
      <c r="D211" s="2" t="s">
        <v>22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 ht="29" thickBot="1">
      <c r="A212" s="2" t="s">
        <v>78</v>
      </c>
      <c r="B212" s="3" t="s">
        <v>19</v>
      </c>
      <c r="C212" s="2" t="s">
        <v>16</v>
      </c>
      <c r="D212" s="2" t="s">
        <v>22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 ht="29" thickBot="1">
      <c r="A213" s="2" t="s">
        <v>78</v>
      </c>
      <c r="B213" s="3" t="s">
        <v>20</v>
      </c>
      <c r="C213" s="2" t="s">
        <v>16</v>
      </c>
      <c r="D213" s="2" t="s">
        <v>22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 ht="29" thickBot="1">
      <c r="A214" s="2" t="s">
        <v>79</v>
      </c>
      <c r="B214" s="3" t="s">
        <v>15</v>
      </c>
      <c r="C214" s="2" t="s">
        <v>31</v>
      </c>
      <c r="D214" s="2" t="s">
        <v>17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 ht="29" thickBot="1">
      <c r="A215" s="2" t="s">
        <v>79</v>
      </c>
      <c r="B215" s="3" t="s">
        <v>18</v>
      </c>
      <c r="C215" s="2" t="s">
        <v>31</v>
      </c>
      <c r="D215" s="2" t="s">
        <v>17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 ht="29" thickBot="1">
      <c r="A216" s="2" t="s">
        <v>79</v>
      </c>
      <c r="B216" s="3" t="s">
        <v>19</v>
      </c>
      <c r="C216" s="2" t="s">
        <v>31</v>
      </c>
      <c r="D216" s="2" t="s">
        <v>17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 ht="29" thickBot="1">
      <c r="A217" s="2" t="s">
        <v>79</v>
      </c>
      <c r="B217" s="3" t="s">
        <v>20</v>
      </c>
      <c r="C217" s="2" t="s">
        <v>31</v>
      </c>
      <c r="D217" s="2" t="s">
        <v>17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 ht="29" thickBot="1">
      <c r="A218" s="2" t="s">
        <v>80</v>
      </c>
      <c r="B218" s="3" t="s">
        <v>15</v>
      </c>
      <c r="C218" s="2" t="s">
        <v>24</v>
      </c>
      <c r="D218" s="2" t="s">
        <v>25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 ht="29" thickBot="1">
      <c r="A219" s="2" t="s">
        <v>80</v>
      </c>
      <c r="B219" s="3" t="s">
        <v>18</v>
      </c>
      <c r="C219" s="2" t="s">
        <v>24</v>
      </c>
      <c r="D219" s="2" t="s">
        <v>25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 ht="29" thickBot="1">
      <c r="A220" s="2" t="s">
        <v>80</v>
      </c>
      <c r="B220" s="3" t="s">
        <v>19</v>
      </c>
      <c r="C220" s="2" t="s">
        <v>24</v>
      </c>
      <c r="D220" s="2" t="s">
        <v>25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 ht="29" thickBot="1">
      <c r="A221" s="2" t="s">
        <v>80</v>
      </c>
      <c r="B221" s="3" t="s">
        <v>20</v>
      </c>
      <c r="C221" s="2" t="s">
        <v>24</v>
      </c>
      <c r="D221" s="2" t="s">
        <v>25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 ht="29" thickBot="1">
      <c r="A222" s="2" t="s">
        <v>81</v>
      </c>
      <c r="B222" s="3" t="s">
        <v>15</v>
      </c>
      <c r="C222" s="2" t="s">
        <v>16</v>
      </c>
      <c r="D222" s="2" t="s">
        <v>22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 ht="29" thickBot="1">
      <c r="A223" s="2" t="s">
        <v>81</v>
      </c>
      <c r="B223" s="3" t="s">
        <v>18</v>
      </c>
      <c r="C223" s="2" t="s">
        <v>16</v>
      </c>
      <c r="D223" s="2" t="s">
        <v>22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 ht="29" thickBot="1">
      <c r="A224" s="2" t="s">
        <v>81</v>
      </c>
      <c r="B224" s="3" t="s">
        <v>19</v>
      </c>
      <c r="C224" s="2" t="s">
        <v>16</v>
      </c>
      <c r="D224" s="2" t="s">
        <v>22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 ht="29" thickBot="1">
      <c r="A225" s="2" t="s">
        <v>81</v>
      </c>
      <c r="B225" s="3" t="s">
        <v>20</v>
      </c>
      <c r="C225" s="2" t="s">
        <v>16</v>
      </c>
      <c r="D225" s="2" t="s">
        <v>22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 ht="29" thickBot="1">
      <c r="A226" s="2" t="s">
        <v>82</v>
      </c>
      <c r="B226" s="3" t="s">
        <v>15</v>
      </c>
      <c r="C226" s="2" t="s">
        <v>16</v>
      </c>
      <c r="D226" s="2" t="s">
        <v>32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 ht="29" thickBot="1">
      <c r="A227" s="2" t="s">
        <v>82</v>
      </c>
      <c r="B227" s="3" t="s">
        <v>18</v>
      </c>
      <c r="C227" s="2" t="s">
        <v>16</v>
      </c>
      <c r="D227" s="2" t="s">
        <v>32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 ht="29" thickBot="1">
      <c r="A228" s="2" t="s">
        <v>82</v>
      </c>
      <c r="B228" s="3" t="s">
        <v>19</v>
      </c>
      <c r="C228" s="2" t="s">
        <v>16</v>
      </c>
      <c r="D228" s="2" t="s">
        <v>32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 ht="29" thickBot="1">
      <c r="A229" s="2" t="s">
        <v>82</v>
      </c>
      <c r="B229" s="3" t="s">
        <v>20</v>
      </c>
      <c r="C229" s="2" t="s">
        <v>16</v>
      </c>
      <c r="D229" s="2" t="s">
        <v>32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2"/>
      <c r="M229" s="3">
        <v>529598.93999999994</v>
      </c>
      <c r="N229" s="3">
        <v>84334.33</v>
      </c>
    </row>
    <row r="230" spans="1:14" ht="29" thickBot="1">
      <c r="A230" s="2" t="s">
        <v>83</v>
      </c>
      <c r="B230" s="3" t="s">
        <v>15</v>
      </c>
      <c r="C230" s="2" t="s">
        <v>16</v>
      </c>
      <c r="D230" s="2" t="s">
        <v>22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 ht="29" thickBot="1">
      <c r="A231" s="2" t="s">
        <v>83</v>
      </c>
      <c r="B231" s="3" t="s">
        <v>18</v>
      </c>
      <c r="C231" s="2" t="s">
        <v>16</v>
      </c>
      <c r="D231" s="2" t="s">
        <v>22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 ht="29" thickBot="1">
      <c r="A232" s="2" t="s">
        <v>83</v>
      </c>
      <c r="B232" s="3" t="s">
        <v>19</v>
      </c>
      <c r="C232" s="2" t="s">
        <v>16</v>
      </c>
      <c r="D232" s="2" t="s">
        <v>22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 ht="34.5" customHeight="1" thickBot="1">
      <c r="A233" s="2" t="s">
        <v>83</v>
      </c>
      <c r="B233" s="3" t="s">
        <v>20</v>
      </c>
      <c r="C233" s="2" t="s">
        <v>16</v>
      </c>
      <c r="D233" s="2" t="s">
        <v>22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2">
        <v>4.55</v>
      </c>
      <c r="K233" s="3">
        <v>0</v>
      </c>
      <c r="L233" s="3">
        <v>3.7</v>
      </c>
      <c r="M233" s="3">
        <v>647512.85</v>
      </c>
      <c r="N233" s="3">
        <v>153835.57</v>
      </c>
    </row>
    <row r="234" spans="1:14" ht="29" thickBot="1">
      <c r="A234" s="2" t="s">
        <v>84</v>
      </c>
      <c r="B234" s="3" t="s">
        <v>15</v>
      </c>
      <c r="C234" s="2" t="s">
        <v>31</v>
      </c>
      <c r="D234" s="2" t="s">
        <v>17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 ht="29" thickBot="1">
      <c r="A235" s="2" t="s">
        <v>84</v>
      </c>
      <c r="B235" s="3" t="s">
        <v>18</v>
      </c>
      <c r="C235" s="2" t="s">
        <v>31</v>
      </c>
      <c r="D235" s="2" t="s">
        <v>17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 ht="29" thickBot="1">
      <c r="A236" s="2" t="s">
        <v>84</v>
      </c>
      <c r="B236" s="3" t="s">
        <v>19</v>
      </c>
      <c r="C236" s="2" t="s">
        <v>31</v>
      </c>
      <c r="D236" s="2" t="s">
        <v>17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 ht="29" thickBot="1">
      <c r="A237" s="2" t="s">
        <v>84</v>
      </c>
      <c r="B237" s="3" t="s">
        <v>20</v>
      </c>
      <c r="C237" s="2" t="s">
        <v>31</v>
      </c>
      <c r="D237" s="2" t="s">
        <v>17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 ht="29" thickBot="1">
      <c r="A238" s="2" t="s">
        <v>85</v>
      </c>
      <c r="B238" s="3" t="s">
        <v>15</v>
      </c>
      <c r="C238" s="2" t="s">
        <v>31</v>
      </c>
      <c r="D238" s="2" t="s">
        <v>32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 ht="29" thickBot="1">
      <c r="A239" s="2" t="s">
        <v>85</v>
      </c>
      <c r="B239" s="3" t="s">
        <v>18</v>
      </c>
      <c r="C239" s="2" t="s">
        <v>31</v>
      </c>
      <c r="D239" s="2" t="s">
        <v>32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 ht="29" thickBot="1">
      <c r="A240" s="2" t="s">
        <v>85</v>
      </c>
      <c r="B240" s="3" t="s">
        <v>19</v>
      </c>
      <c r="C240" s="2" t="s">
        <v>31</v>
      </c>
      <c r="D240" s="2" t="s">
        <v>32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 ht="29" thickBot="1">
      <c r="A241" s="2" t="s">
        <v>85</v>
      </c>
      <c r="B241" s="3" t="s">
        <v>20</v>
      </c>
      <c r="C241" s="2" t="s">
        <v>31</v>
      </c>
      <c r="D241" s="2" t="s">
        <v>32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 ht="29" thickBot="1">
      <c r="A242" s="2" t="s">
        <v>86</v>
      </c>
      <c r="B242" s="3" t="s">
        <v>15</v>
      </c>
      <c r="C242" s="2" t="s">
        <v>28</v>
      </c>
      <c r="D242" s="2" t="s">
        <v>25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 ht="29" thickBot="1">
      <c r="A243" s="2" t="s">
        <v>86</v>
      </c>
      <c r="B243" s="3" t="s">
        <v>18</v>
      </c>
      <c r="C243" s="2" t="s">
        <v>28</v>
      </c>
      <c r="D243" s="2" t="s">
        <v>25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 ht="29" thickBot="1">
      <c r="A244" s="2" t="s">
        <v>86</v>
      </c>
      <c r="B244" s="3" t="s">
        <v>19</v>
      </c>
      <c r="C244" s="2" t="s">
        <v>28</v>
      </c>
      <c r="D244" s="2" t="s">
        <v>25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 ht="29" thickBot="1">
      <c r="A245" s="2" t="s">
        <v>86</v>
      </c>
      <c r="B245" s="3" t="s">
        <v>20</v>
      </c>
      <c r="C245" s="2" t="s">
        <v>28</v>
      </c>
      <c r="D245" s="2" t="s">
        <v>25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 ht="29" thickBot="1">
      <c r="A246" s="2" t="s">
        <v>87</v>
      </c>
      <c r="B246" s="3" t="s">
        <v>15</v>
      </c>
      <c r="C246" s="2" t="s">
        <v>16</v>
      </c>
      <c r="D246" s="2" t="s">
        <v>22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 ht="29" thickBot="1">
      <c r="A247" s="2" t="s">
        <v>87</v>
      </c>
      <c r="B247" s="3" t="s">
        <v>18</v>
      </c>
      <c r="C247" s="2" t="s">
        <v>16</v>
      </c>
      <c r="D247" s="2" t="s">
        <v>22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 ht="29" thickBot="1">
      <c r="A248" s="2" t="s">
        <v>87</v>
      </c>
      <c r="B248" s="3" t="s">
        <v>19</v>
      </c>
      <c r="C248" s="2" t="s">
        <v>16</v>
      </c>
      <c r="D248" s="2" t="s">
        <v>22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 ht="29" thickBot="1">
      <c r="A249" s="2" t="s">
        <v>87</v>
      </c>
      <c r="B249" s="3" t="s">
        <v>20</v>
      </c>
      <c r="C249" s="2" t="s">
        <v>16</v>
      </c>
      <c r="D249" s="2" t="s">
        <v>22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 ht="37" customHeight="1" thickBot="1">
      <c r="A250" s="2" t="s">
        <v>88</v>
      </c>
      <c r="B250" s="3" t="s">
        <v>15</v>
      </c>
      <c r="C250" s="2" t="s">
        <v>24</v>
      </c>
      <c r="D250" s="2" t="s">
        <v>22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2">
        <v>4.55</v>
      </c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 ht="29" thickBot="1">
      <c r="A251" s="2" t="s">
        <v>88</v>
      </c>
      <c r="B251" s="3" t="s">
        <v>18</v>
      </c>
      <c r="C251" s="2" t="s">
        <v>24</v>
      </c>
      <c r="D251" s="2" t="s">
        <v>22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 ht="29" thickBot="1">
      <c r="A252" s="2" t="s">
        <v>88</v>
      </c>
      <c r="B252" s="3" t="s">
        <v>19</v>
      </c>
      <c r="C252" s="2" t="s">
        <v>24</v>
      </c>
      <c r="D252" s="2" t="s">
        <v>22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 ht="29" thickBot="1">
      <c r="A253" s="2" t="s">
        <v>88</v>
      </c>
      <c r="B253" s="3" t="s">
        <v>20</v>
      </c>
      <c r="C253" s="2" t="s">
        <v>24</v>
      </c>
      <c r="D253" s="2" t="s">
        <v>22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 ht="29" thickBot="1">
      <c r="A254" s="2" t="s">
        <v>89</v>
      </c>
      <c r="B254" s="3" t="s">
        <v>15</v>
      </c>
      <c r="C254" s="2" t="s">
        <v>28</v>
      </c>
      <c r="D254" s="2" t="s">
        <v>25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 ht="29" thickBot="1">
      <c r="A255" s="2" t="s">
        <v>89</v>
      </c>
      <c r="B255" s="3" t="s">
        <v>18</v>
      </c>
      <c r="C255" s="2" t="s">
        <v>28</v>
      </c>
      <c r="D255" s="2" t="s">
        <v>25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 ht="29" thickBot="1">
      <c r="A256" s="2" t="s">
        <v>89</v>
      </c>
      <c r="B256" s="3" t="s">
        <v>19</v>
      </c>
      <c r="C256" s="2" t="s">
        <v>28</v>
      </c>
      <c r="D256" s="2" t="s">
        <v>25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 ht="29" thickBot="1">
      <c r="A257" s="2" t="s">
        <v>89</v>
      </c>
      <c r="B257" s="3" t="s">
        <v>20</v>
      </c>
      <c r="C257" s="2" t="s">
        <v>28</v>
      </c>
      <c r="D257" s="2" t="s">
        <v>25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 ht="29" thickBot="1">
      <c r="A258" s="2" t="s">
        <v>90</v>
      </c>
      <c r="B258" s="3" t="s">
        <v>15</v>
      </c>
      <c r="C258" s="2" t="s">
        <v>28</v>
      </c>
      <c r="D258" s="2" t="s">
        <v>32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 ht="29" thickBot="1">
      <c r="A259" s="2" t="s">
        <v>90</v>
      </c>
      <c r="B259" s="3" t="s">
        <v>18</v>
      </c>
      <c r="C259" s="2" t="s">
        <v>28</v>
      </c>
      <c r="D259" s="2" t="s">
        <v>32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 ht="29" thickBot="1">
      <c r="A260" s="2" t="s">
        <v>90</v>
      </c>
      <c r="B260" s="3" t="s">
        <v>19</v>
      </c>
      <c r="C260" s="2" t="s">
        <v>28</v>
      </c>
      <c r="D260" s="2" t="s">
        <v>32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 ht="29" thickBot="1">
      <c r="A261" s="2" t="s">
        <v>90</v>
      </c>
      <c r="B261" s="3" t="s">
        <v>20</v>
      </c>
      <c r="C261" s="2" t="s">
        <v>28</v>
      </c>
      <c r="D261" s="2" t="s">
        <v>32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 ht="29" thickBot="1">
      <c r="A262" s="2" t="s">
        <v>91</v>
      </c>
      <c r="B262" s="3" t="s">
        <v>15</v>
      </c>
      <c r="C262" s="2" t="s">
        <v>31</v>
      </c>
      <c r="D262" s="2" t="s">
        <v>22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 ht="36.5" customHeight="1" thickBot="1">
      <c r="A263" s="2" t="s">
        <v>91</v>
      </c>
      <c r="B263" s="3" t="s">
        <v>18</v>
      </c>
      <c r="C263" s="2" t="s">
        <v>31</v>
      </c>
      <c r="D263" s="2" t="s">
        <v>22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2">
        <v>4.55</v>
      </c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 ht="29" thickBot="1">
      <c r="A264" s="2" t="s">
        <v>91</v>
      </c>
      <c r="B264" s="3" t="s">
        <v>19</v>
      </c>
      <c r="C264" s="2" t="s">
        <v>31</v>
      </c>
      <c r="D264" s="2" t="s">
        <v>22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 ht="29" thickBot="1">
      <c r="A265" s="2" t="s">
        <v>91</v>
      </c>
      <c r="B265" s="3" t="s">
        <v>20</v>
      </c>
      <c r="C265" s="2" t="s">
        <v>31</v>
      </c>
      <c r="D265" s="2" t="s">
        <v>22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 ht="29" thickBot="1">
      <c r="A266" s="2" t="s">
        <v>92</v>
      </c>
      <c r="B266" s="3" t="s">
        <v>15</v>
      </c>
      <c r="C266" s="2" t="s">
        <v>16</v>
      </c>
      <c r="D266" s="2" t="s">
        <v>22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 ht="29" thickBot="1">
      <c r="A267" s="2" t="s">
        <v>92</v>
      </c>
      <c r="B267" s="3" t="s">
        <v>18</v>
      </c>
      <c r="C267" s="2" t="s">
        <v>16</v>
      </c>
      <c r="D267" s="2" t="s">
        <v>22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 ht="29" thickBot="1">
      <c r="A268" s="2" t="s">
        <v>92</v>
      </c>
      <c r="B268" s="3" t="s">
        <v>19</v>
      </c>
      <c r="C268" s="2" t="s">
        <v>16</v>
      </c>
      <c r="D268" s="2" t="s">
        <v>22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 ht="29" thickBot="1">
      <c r="A269" s="2" t="s">
        <v>92</v>
      </c>
      <c r="B269" s="3" t="s">
        <v>20</v>
      </c>
      <c r="C269" s="2" t="s">
        <v>16</v>
      </c>
      <c r="D269" s="2" t="s">
        <v>22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 ht="29" thickBot="1">
      <c r="A270" s="2" t="s">
        <v>93</v>
      </c>
      <c r="B270" s="3" t="s">
        <v>15</v>
      </c>
      <c r="C270" s="2" t="s">
        <v>16</v>
      </c>
      <c r="D270" s="2" t="s">
        <v>32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 ht="29" thickBot="1">
      <c r="A271" s="2" t="s">
        <v>93</v>
      </c>
      <c r="B271" s="3" t="s">
        <v>18</v>
      </c>
      <c r="C271" s="2" t="s">
        <v>16</v>
      </c>
      <c r="D271" s="2" t="s">
        <v>32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 ht="29" thickBot="1">
      <c r="A272" s="2" t="s">
        <v>93</v>
      </c>
      <c r="B272" s="3" t="s">
        <v>19</v>
      </c>
      <c r="C272" s="2" t="s">
        <v>16</v>
      </c>
      <c r="D272" s="2" t="s">
        <v>32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 ht="29" thickBot="1">
      <c r="A273" s="2" t="s">
        <v>93</v>
      </c>
      <c r="B273" s="3" t="s">
        <v>20</v>
      </c>
      <c r="C273" s="2" t="s">
        <v>16</v>
      </c>
      <c r="D273" s="2" t="s">
        <v>32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 ht="29" thickBot="1">
      <c r="A274" s="2" t="s">
        <v>94</v>
      </c>
      <c r="B274" s="3" t="s">
        <v>15</v>
      </c>
      <c r="C274" s="2" t="s">
        <v>31</v>
      </c>
      <c r="D274" s="2" t="s">
        <v>22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 ht="29" thickBot="1">
      <c r="A275" s="2" t="s">
        <v>94</v>
      </c>
      <c r="B275" s="3" t="s">
        <v>18</v>
      </c>
      <c r="C275" s="2" t="s">
        <v>31</v>
      </c>
      <c r="D275" s="2" t="s">
        <v>22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 ht="29" thickBot="1">
      <c r="A276" s="2" t="s">
        <v>94</v>
      </c>
      <c r="B276" s="3" t="s">
        <v>19</v>
      </c>
      <c r="C276" s="2" t="s">
        <v>31</v>
      </c>
      <c r="D276" s="2" t="s">
        <v>22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 ht="29" thickBot="1">
      <c r="A277" s="2" t="s">
        <v>94</v>
      </c>
      <c r="B277" s="3" t="s">
        <v>20</v>
      </c>
      <c r="C277" s="2" t="s">
        <v>31</v>
      </c>
      <c r="D277" s="2" t="s">
        <v>22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 ht="29" thickBot="1">
      <c r="A278" s="2" t="s">
        <v>95</v>
      </c>
      <c r="B278" s="3" t="s">
        <v>15</v>
      </c>
      <c r="C278" s="2" t="s">
        <v>28</v>
      </c>
      <c r="D278" s="2" t="s">
        <v>17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 ht="29" thickBot="1">
      <c r="A279" s="2" t="s">
        <v>95</v>
      </c>
      <c r="B279" s="3" t="s">
        <v>18</v>
      </c>
      <c r="C279" s="2" t="s">
        <v>28</v>
      </c>
      <c r="D279" s="2" t="s">
        <v>17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 ht="29" thickBot="1">
      <c r="A280" s="2" t="s">
        <v>95</v>
      </c>
      <c r="B280" s="3" t="s">
        <v>19</v>
      </c>
      <c r="C280" s="2" t="s">
        <v>28</v>
      </c>
      <c r="D280" s="2" t="s">
        <v>17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 ht="29" thickBot="1">
      <c r="A281" s="2" t="s">
        <v>95</v>
      </c>
      <c r="B281" s="3" t="s">
        <v>20</v>
      </c>
      <c r="C281" s="2" t="s">
        <v>28</v>
      </c>
      <c r="D281" s="2" t="s">
        <v>17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 ht="29" thickBot="1">
      <c r="A282" s="2" t="s">
        <v>96</v>
      </c>
      <c r="B282" s="3" t="s">
        <v>15</v>
      </c>
      <c r="C282" s="2" t="s">
        <v>28</v>
      </c>
      <c r="D282" s="2" t="s">
        <v>22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 ht="29" thickBot="1">
      <c r="A283" s="2" t="s">
        <v>96</v>
      </c>
      <c r="B283" s="3" t="s">
        <v>18</v>
      </c>
      <c r="C283" s="2" t="s">
        <v>28</v>
      </c>
      <c r="D283" s="2" t="s">
        <v>22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 ht="29" thickBot="1">
      <c r="A284" s="2" t="s">
        <v>96</v>
      </c>
      <c r="B284" s="3" t="s">
        <v>19</v>
      </c>
      <c r="C284" s="2" t="s">
        <v>28</v>
      </c>
      <c r="D284" s="2" t="s">
        <v>22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 ht="29" thickBot="1">
      <c r="A285" s="2" t="s">
        <v>96</v>
      </c>
      <c r="B285" s="3" t="s">
        <v>20</v>
      </c>
      <c r="C285" s="2" t="s">
        <v>28</v>
      </c>
      <c r="D285" s="2" t="s">
        <v>22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 ht="29" thickBot="1">
      <c r="A286" s="2" t="s">
        <v>97</v>
      </c>
      <c r="B286" s="3" t="s">
        <v>15</v>
      </c>
      <c r="C286" s="2" t="s">
        <v>31</v>
      </c>
      <c r="D286" s="2" t="s">
        <v>17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 ht="29" thickBot="1">
      <c r="A287" s="2" t="s">
        <v>97</v>
      </c>
      <c r="B287" s="3" t="s">
        <v>18</v>
      </c>
      <c r="C287" s="2" t="s">
        <v>31</v>
      </c>
      <c r="D287" s="2" t="s">
        <v>17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 ht="29" thickBot="1">
      <c r="A288" s="2" t="s">
        <v>97</v>
      </c>
      <c r="B288" s="3" t="s">
        <v>19</v>
      </c>
      <c r="C288" s="2" t="s">
        <v>31</v>
      </c>
      <c r="D288" s="2" t="s">
        <v>17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 ht="29" thickBot="1">
      <c r="A289" s="2" t="s">
        <v>97</v>
      </c>
      <c r="B289" s="3" t="s">
        <v>20</v>
      </c>
      <c r="C289" s="2" t="s">
        <v>31</v>
      </c>
      <c r="D289" s="2" t="s">
        <v>17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 ht="29" thickBot="1">
      <c r="A290" s="2" t="s">
        <v>98</v>
      </c>
      <c r="B290" s="3" t="s">
        <v>15</v>
      </c>
      <c r="C290" s="2" t="s">
        <v>16</v>
      </c>
      <c r="D290" s="2" t="s">
        <v>17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 ht="29" thickBot="1">
      <c r="A291" s="2" t="s">
        <v>98</v>
      </c>
      <c r="B291" s="3" t="s">
        <v>18</v>
      </c>
      <c r="C291" s="2" t="s">
        <v>16</v>
      </c>
      <c r="D291" s="2" t="s">
        <v>17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 ht="29" thickBot="1">
      <c r="A292" s="2" t="s">
        <v>98</v>
      </c>
      <c r="B292" s="3" t="s">
        <v>19</v>
      </c>
      <c r="C292" s="2" t="s">
        <v>16</v>
      </c>
      <c r="D292" s="2" t="s">
        <v>17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 ht="29" thickBot="1">
      <c r="A293" s="2" t="s">
        <v>98</v>
      </c>
      <c r="B293" s="3" t="s">
        <v>20</v>
      </c>
      <c r="C293" s="2" t="s">
        <v>16</v>
      </c>
      <c r="D293" s="2" t="s">
        <v>17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 ht="29" thickBot="1">
      <c r="A294" s="2" t="s">
        <v>99</v>
      </c>
      <c r="B294" s="3" t="s">
        <v>15</v>
      </c>
      <c r="C294" s="2" t="s">
        <v>31</v>
      </c>
      <c r="D294" s="2" t="s">
        <v>22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 ht="29" thickBot="1">
      <c r="A295" s="2" t="s">
        <v>99</v>
      </c>
      <c r="B295" s="3" t="s">
        <v>18</v>
      </c>
      <c r="C295" s="2" t="s">
        <v>31</v>
      </c>
      <c r="D295" s="2" t="s">
        <v>22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 ht="29" thickBot="1">
      <c r="A296" s="2" t="s">
        <v>99</v>
      </c>
      <c r="B296" s="3" t="s">
        <v>19</v>
      </c>
      <c r="C296" s="2" t="s">
        <v>31</v>
      </c>
      <c r="D296" s="2" t="s">
        <v>22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 ht="29" thickBot="1">
      <c r="A297" s="2" t="s">
        <v>99</v>
      </c>
      <c r="B297" s="3" t="s">
        <v>20</v>
      </c>
      <c r="C297" s="2" t="s">
        <v>31</v>
      </c>
      <c r="D297" s="2" t="s">
        <v>22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 ht="29" thickBot="1">
      <c r="A298" s="2" t="s">
        <v>100</v>
      </c>
      <c r="B298" s="3" t="s">
        <v>15</v>
      </c>
      <c r="C298" s="2" t="s">
        <v>31</v>
      </c>
      <c r="D298" s="2" t="s">
        <v>22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 ht="29" thickBot="1">
      <c r="A299" s="2" t="s">
        <v>100</v>
      </c>
      <c r="B299" s="3" t="s">
        <v>18</v>
      </c>
      <c r="C299" s="2" t="s">
        <v>31</v>
      </c>
      <c r="D299" s="2" t="s">
        <v>22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 ht="29" thickBot="1">
      <c r="A300" s="2" t="s">
        <v>100</v>
      </c>
      <c r="B300" s="3" t="s">
        <v>19</v>
      </c>
      <c r="C300" s="2" t="s">
        <v>31</v>
      </c>
      <c r="D300" s="2" t="s">
        <v>22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 ht="29" thickBot="1">
      <c r="A301" s="2" t="s">
        <v>100</v>
      </c>
      <c r="B301" s="3" t="s">
        <v>20</v>
      </c>
      <c r="C301" s="2" t="s">
        <v>31</v>
      </c>
      <c r="D301" s="2" t="s">
        <v>22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 ht="29" thickBot="1">
      <c r="A302" s="2" t="s">
        <v>101</v>
      </c>
      <c r="B302" s="3" t="s">
        <v>15</v>
      </c>
      <c r="C302" s="2" t="s">
        <v>24</v>
      </c>
      <c r="D302" s="2" t="s">
        <v>32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 ht="29" thickBot="1">
      <c r="A303" s="2" t="s">
        <v>101</v>
      </c>
      <c r="B303" s="3" t="s">
        <v>18</v>
      </c>
      <c r="C303" s="2" t="s">
        <v>24</v>
      </c>
      <c r="D303" s="2" t="s">
        <v>32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 ht="29" thickBot="1">
      <c r="A304" s="2" t="s">
        <v>101</v>
      </c>
      <c r="B304" s="3" t="s">
        <v>19</v>
      </c>
      <c r="C304" s="2" t="s">
        <v>24</v>
      </c>
      <c r="D304" s="2" t="s">
        <v>32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 ht="29" thickBot="1">
      <c r="A305" s="2" t="s">
        <v>101</v>
      </c>
      <c r="B305" s="3" t="s">
        <v>20</v>
      </c>
      <c r="C305" s="2" t="s">
        <v>24</v>
      </c>
      <c r="D305" s="2" t="s">
        <v>32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 ht="29" thickBot="1">
      <c r="A306" s="2" t="s">
        <v>102</v>
      </c>
      <c r="B306" s="3" t="s">
        <v>15</v>
      </c>
      <c r="C306" s="2" t="s">
        <v>28</v>
      </c>
      <c r="D306" s="2" t="s">
        <v>17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 ht="29" thickBot="1">
      <c r="A307" s="2" t="s">
        <v>102</v>
      </c>
      <c r="B307" s="3" t="s">
        <v>18</v>
      </c>
      <c r="C307" s="2" t="s">
        <v>28</v>
      </c>
      <c r="D307" s="2" t="s">
        <v>17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 ht="29" thickBot="1">
      <c r="A308" s="2" t="s">
        <v>102</v>
      </c>
      <c r="B308" s="3" t="s">
        <v>19</v>
      </c>
      <c r="C308" s="2" t="s">
        <v>28</v>
      </c>
      <c r="D308" s="2" t="s">
        <v>17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 ht="29" thickBot="1">
      <c r="A309" s="2" t="s">
        <v>102</v>
      </c>
      <c r="B309" s="3" t="s">
        <v>20</v>
      </c>
      <c r="C309" s="2" t="s">
        <v>28</v>
      </c>
      <c r="D309" s="2" t="s">
        <v>17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 ht="29" thickBot="1">
      <c r="A310" s="2" t="s">
        <v>103</v>
      </c>
      <c r="B310" s="3" t="s">
        <v>15</v>
      </c>
      <c r="C310" s="2" t="s">
        <v>28</v>
      </c>
      <c r="D310" s="2" t="s">
        <v>22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 ht="29" thickBot="1">
      <c r="A311" s="2" t="s">
        <v>103</v>
      </c>
      <c r="B311" s="3" t="s">
        <v>18</v>
      </c>
      <c r="C311" s="2" t="s">
        <v>28</v>
      </c>
      <c r="D311" s="2" t="s">
        <v>22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 ht="29" thickBot="1">
      <c r="A312" s="2" t="s">
        <v>103</v>
      </c>
      <c r="B312" s="3" t="s">
        <v>19</v>
      </c>
      <c r="C312" s="2" t="s">
        <v>28</v>
      </c>
      <c r="D312" s="2" t="s">
        <v>22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 ht="35" customHeight="1" thickBot="1">
      <c r="A313" s="2" t="s">
        <v>103</v>
      </c>
      <c r="B313" s="3" t="s">
        <v>20</v>
      </c>
      <c r="C313" s="2" t="s">
        <v>28</v>
      </c>
      <c r="D313" s="2" t="s">
        <v>22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2">
        <v>3.9</v>
      </c>
      <c r="M313" s="3">
        <v>771129.07</v>
      </c>
      <c r="N313" s="3">
        <v>116851.13</v>
      </c>
    </row>
    <row r="314" spans="1:14" ht="29" thickBot="1">
      <c r="A314" s="2" t="s">
        <v>104</v>
      </c>
      <c r="B314" s="3" t="s">
        <v>15</v>
      </c>
      <c r="C314" s="2" t="s">
        <v>24</v>
      </c>
      <c r="D314" s="2" t="s">
        <v>17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 ht="35" customHeight="1" thickBot="1">
      <c r="A315" s="2" t="s">
        <v>104</v>
      </c>
      <c r="B315" s="3" t="s">
        <v>18</v>
      </c>
      <c r="C315" s="2" t="s">
        <v>24</v>
      </c>
      <c r="D315" s="2" t="s">
        <v>17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2">
        <v>3.9</v>
      </c>
      <c r="M315" s="3">
        <v>688368.46</v>
      </c>
      <c r="N315" s="3">
        <v>93588.42</v>
      </c>
    </row>
    <row r="316" spans="1:14" ht="29" thickBot="1">
      <c r="A316" s="2" t="s">
        <v>104</v>
      </c>
      <c r="B316" s="3" t="s">
        <v>19</v>
      </c>
      <c r="C316" s="2" t="s">
        <v>24</v>
      </c>
      <c r="D316" s="2" t="s">
        <v>17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 ht="29" thickBot="1">
      <c r="A317" s="2" t="s">
        <v>104</v>
      </c>
      <c r="B317" s="3" t="s">
        <v>20</v>
      </c>
      <c r="C317" s="2" t="s">
        <v>24</v>
      </c>
      <c r="D317" s="2" t="s">
        <v>17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 ht="29" thickBot="1">
      <c r="A318" s="2" t="s">
        <v>105</v>
      </c>
      <c r="B318" s="3" t="s">
        <v>15</v>
      </c>
      <c r="C318" s="2" t="s">
        <v>16</v>
      </c>
      <c r="D318" s="2" t="s">
        <v>17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 ht="29" thickBot="1">
      <c r="A319" s="2" t="s">
        <v>105</v>
      </c>
      <c r="B319" s="3" t="s">
        <v>18</v>
      </c>
      <c r="C319" s="2" t="s">
        <v>16</v>
      </c>
      <c r="D319" s="2" t="s">
        <v>17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 ht="29" thickBot="1">
      <c r="A320" s="2" t="s">
        <v>105</v>
      </c>
      <c r="B320" s="3" t="s">
        <v>19</v>
      </c>
      <c r="C320" s="2" t="s">
        <v>16</v>
      </c>
      <c r="D320" s="2" t="s">
        <v>17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 ht="29" thickBot="1">
      <c r="A321" s="2" t="s">
        <v>105</v>
      </c>
      <c r="B321" s="3" t="s">
        <v>20</v>
      </c>
      <c r="C321" s="2" t="s">
        <v>16</v>
      </c>
      <c r="D321" s="2" t="s">
        <v>17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1D3A-2591-4A7B-BCB7-54D9134D4878}">
  <dimension ref="A1:Q321"/>
  <sheetViews>
    <sheetView topLeftCell="J1" zoomScale="70" workbookViewId="0">
      <selection activeCell="O1" sqref="O1:O1048576"/>
    </sheetView>
  </sheetViews>
  <sheetFormatPr defaultRowHeight="14.5"/>
  <cols>
    <col min="1" max="1" width="14.6328125" customWidth="1"/>
    <col min="4" max="4" width="13.6328125" customWidth="1"/>
    <col min="5" max="5" width="17.54296875" customWidth="1"/>
    <col min="7" max="7" width="18" customWidth="1"/>
    <col min="8" max="8" width="13.7265625" customWidth="1"/>
    <col min="9" max="9" width="24" customWidth="1"/>
    <col min="10" max="10" width="26.54296875" customWidth="1"/>
    <col min="11" max="11" width="12.1796875" customWidth="1"/>
    <col min="12" max="12" width="18.1796875" customWidth="1"/>
    <col min="13" max="13" width="15.08984375" customWidth="1"/>
    <col min="14" max="14" width="15.36328125" customWidth="1"/>
    <col min="15" max="15" width="20" customWidth="1"/>
    <col min="16" max="16" width="19.7265625" customWidth="1"/>
    <col min="17" max="17" width="23.36328125" customWidth="1"/>
  </cols>
  <sheetData>
    <row r="1" spans="1:17" ht="28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106</v>
      </c>
      <c r="P1" s="4" t="s">
        <v>107</v>
      </c>
      <c r="Q1" s="4" t="s">
        <v>108</v>
      </c>
    </row>
    <row r="2" spans="1:17" ht="29" thickBot="1">
      <c r="A2" s="2" t="s">
        <v>14</v>
      </c>
      <c r="B2" s="3" t="s">
        <v>15</v>
      </c>
      <c r="C2" s="2" t="s">
        <v>16</v>
      </c>
      <c r="D2" s="2" t="s">
        <v>17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  <c r="O2">
        <f>IF(D2="Airport", 1, 0)</f>
        <v>0</v>
      </c>
      <c r="P2">
        <f>IF(D2="High Street", 1, 0)</f>
        <v>0</v>
      </c>
      <c r="Q2">
        <f>IF(D2="Mall", 1, 0)</f>
        <v>0</v>
      </c>
    </row>
    <row r="3" spans="1:17" ht="29" thickBot="1">
      <c r="A3" s="2" t="s">
        <v>14</v>
      </c>
      <c r="B3" s="3" t="s">
        <v>18</v>
      </c>
      <c r="C3" s="2" t="s">
        <v>16</v>
      </c>
      <c r="D3" s="2" t="s">
        <v>17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  <c r="O3">
        <f t="shared" ref="O3:O66" si="0">IF(D3="Airport", 1, 0)</f>
        <v>0</v>
      </c>
      <c r="P3">
        <f t="shared" ref="P3:P66" si="1">IF(D3="High Street", 1, 0)</f>
        <v>0</v>
      </c>
      <c r="Q3">
        <f t="shared" ref="Q3:Q66" si="2">IF(D3="Mall", 1, 0)</f>
        <v>0</v>
      </c>
    </row>
    <row r="4" spans="1:17" ht="29" thickBot="1">
      <c r="A4" s="2" t="s">
        <v>14</v>
      </c>
      <c r="B4" s="3" t="s">
        <v>19</v>
      </c>
      <c r="C4" s="2" t="s">
        <v>16</v>
      </c>
      <c r="D4" s="2" t="s">
        <v>17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  <c r="O4">
        <f t="shared" si="0"/>
        <v>0</v>
      </c>
      <c r="P4">
        <f t="shared" si="1"/>
        <v>0</v>
      </c>
      <c r="Q4">
        <f t="shared" si="2"/>
        <v>0</v>
      </c>
    </row>
    <row r="5" spans="1:17" ht="29" thickBot="1">
      <c r="A5" s="2" t="s">
        <v>14</v>
      </c>
      <c r="B5" s="3" t="s">
        <v>20</v>
      </c>
      <c r="C5" s="2" t="s">
        <v>16</v>
      </c>
      <c r="D5" s="2" t="s">
        <v>17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  <c r="O5">
        <f t="shared" si="0"/>
        <v>0</v>
      </c>
      <c r="P5">
        <f t="shared" si="1"/>
        <v>0</v>
      </c>
      <c r="Q5">
        <f t="shared" si="2"/>
        <v>0</v>
      </c>
    </row>
    <row r="6" spans="1:17" ht="29" thickBot="1">
      <c r="A6" s="2" t="s">
        <v>21</v>
      </c>
      <c r="B6" s="3" t="s">
        <v>15</v>
      </c>
      <c r="C6" s="2" t="s">
        <v>16</v>
      </c>
      <c r="D6" s="2" t="s">
        <v>22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  <c r="O6">
        <f t="shared" si="0"/>
        <v>0</v>
      </c>
      <c r="P6">
        <f t="shared" si="1"/>
        <v>1</v>
      </c>
      <c r="Q6">
        <f t="shared" si="2"/>
        <v>0</v>
      </c>
    </row>
    <row r="7" spans="1:17" ht="29" thickBot="1">
      <c r="A7" s="2" t="s">
        <v>21</v>
      </c>
      <c r="B7" s="3" t="s">
        <v>18</v>
      </c>
      <c r="C7" s="2" t="s">
        <v>16</v>
      </c>
      <c r="D7" s="2" t="s">
        <v>22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  <c r="O7">
        <f t="shared" si="0"/>
        <v>0</v>
      </c>
      <c r="P7">
        <f t="shared" si="1"/>
        <v>1</v>
      </c>
      <c r="Q7">
        <f t="shared" si="2"/>
        <v>0</v>
      </c>
    </row>
    <row r="8" spans="1:17" ht="29" thickBot="1">
      <c r="A8" s="2" t="s">
        <v>21</v>
      </c>
      <c r="B8" s="3" t="s">
        <v>19</v>
      </c>
      <c r="C8" s="2" t="s">
        <v>16</v>
      </c>
      <c r="D8" s="2" t="s">
        <v>22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  <c r="O8">
        <f t="shared" si="0"/>
        <v>0</v>
      </c>
      <c r="P8">
        <f t="shared" si="1"/>
        <v>1</v>
      </c>
      <c r="Q8">
        <f t="shared" si="2"/>
        <v>0</v>
      </c>
    </row>
    <row r="9" spans="1:17" ht="29" thickBot="1">
      <c r="A9" s="2" t="s">
        <v>21</v>
      </c>
      <c r="B9" s="3" t="s">
        <v>20</v>
      </c>
      <c r="C9" s="2" t="s">
        <v>16</v>
      </c>
      <c r="D9" s="2" t="s">
        <v>22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  <c r="O9">
        <f t="shared" si="0"/>
        <v>0</v>
      </c>
      <c r="P9">
        <f t="shared" si="1"/>
        <v>1</v>
      </c>
      <c r="Q9">
        <f t="shared" si="2"/>
        <v>0</v>
      </c>
    </row>
    <row r="10" spans="1:17" ht="29" thickBot="1">
      <c r="A10" s="2" t="s">
        <v>23</v>
      </c>
      <c r="B10" s="3" t="s">
        <v>15</v>
      </c>
      <c r="C10" s="2" t="s">
        <v>24</v>
      </c>
      <c r="D10" s="2" t="s">
        <v>25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</row>
    <row r="11" spans="1:17" ht="29" thickBot="1">
      <c r="A11" s="2" t="s">
        <v>23</v>
      </c>
      <c r="B11" s="3" t="s">
        <v>18</v>
      </c>
      <c r="C11" s="2" t="s">
        <v>24</v>
      </c>
      <c r="D11" s="2" t="s">
        <v>25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  <c r="O11">
        <f t="shared" si="0"/>
        <v>1</v>
      </c>
      <c r="P11">
        <f t="shared" si="1"/>
        <v>0</v>
      </c>
      <c r="Q11">
        <f t="shared" si="2"/>
        <v>0</v>
      </c>
    </row>
    <row r="12" spans="1:17" ht="29" thickBot="1">
      <c r="A12" s="2" t="s">
        <v>23</v>
      </c>
      <c r="B12" s="3" t="s">
        <v>19</v>
      </c>
      <c r="C12" s="2" t="s">
        <v>24</v>
      </c>
      <c r="D12" s="2" t="s">
        <v>25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  <c r="O12">
        <f t="shared" si="0"/>
        <v>1</v>
      </c>
      <c r="P12">
        <f t="shared" si="1"/>
        <v>0</v>
      </c>
      <c r="Q12">
        <f t="shared" si="2"/>
        <v>0</v>
      </c>
    </row>
    <row r="13" spans="1:17" ht="29" thickBot="1">
      <c r="A13" s="2" t="s">
        <v>23</v>
      </c>
      <c r="B13" s="3" t="s">
        <v>20</v>
      </c>
      <c r="C13" s="2" t="s">
        <v>24</v>
      </c>
      <c r="D13" s="2" t="s">
        <v>25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  <c r="O13">
        <f t="shared" si="0"/>
        <v>1</v>
      </c>
      <c r="P13">
        <f t="shared" si="1"/>
        <v>0</v>
      </c>
      <c r="Q13">
        <f t="shared" si="2"/>
        <v>0</v>
      </c>
    </row>
    <row r="14" spans="1:17" ht="29" thickBot="1">
      <c r="A14" s="2" t="s">
        <v>26</v>
      </c>
      <c r="B14" s="3" t="s">
        <v>15</v>
      </c>
      <c r="C14" s="2" t="s">
        <v>16</v>
      </c>
      <c r="D14" s="2" t="s">
        <v>17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  <c r="O14">
        <f t="shared" si="0"/>
        <v>0</v>
      </c>
      <c r="P14">
        <f t="shared" si="1"/>
        <v>0</v>
      </c>
      <c r="Q14">
        <f t="shared" si="2"/>
        <v>0</v>
      </c>
    </row>
    <row r="15" spans="1:17" ht="29" thickBot="1">
      <c r="A15" s="2" t="s">
        <v>26</v>
      </c>
      <c r="B15" s="3" t="s">
        <v>18</v>
      </c>
      <c r="C15" s="2" t="s">
        <v>16</v>
      </c>
      <c r="D15" s="2" t="s">
        <v>17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  <c r="O15">
        <f t="shared" si="0"/>
        <v>0</v>
      </c>
      <c r="P15">
        <f t="shared" si="1"/>
        <v>0</v>
      </c>
      <c r="Q15">
        <f t="shared" si="2"/>
        <v>0</v>
      </c>
    </row>
    <row r="16" spans="1:17" ht="29" thickBot="1">
      <c r="A16" s="2" t="s">
        <v>26</v>
      </c>
      <c r="B16" s="3" t="s">
        <v>19</v>
      </c>
      <c r="C16" s="2" t="s">
        <v>16</v>
      </c>
      <c r="D16" s="2" t="s">
        <v>17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  <c r="O16">
        <f t="shared" si="0"/>
        <v>0</v>
      </c>
      <c r="P16">
        <f t="shared" si="1"/>
        <v>0</v>
      </c>
      <c r="Q16">
        <f t="shared" si="2"/>
        <v>0</v>
      </c>
    </row>
    <row r="17" spans="1:17" ht="29" thickBot="1">
      <c r="A17" s="2" t="s">
        <v>26</v>
      </c>
      <c r="B17" s="3" t="s">
        <v>20</v>
      </c>
      <c r="C17" s="2" t="s">
        <v>16</v>
      </c>
      <c r="D17" s="2" t="s">
        <v>17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  <c r="O17">
        <f t="shared" si="0"/>
        <v>0</v>
      </c>
      <c r="P17">
        <f t="shared" si="1"/>
        <v>0</v>
      </c>
      <c r="Q17">
        <f t="shared" si="2"/>
        <v>0</v>
      </c>
    </row>
    <row r="18" spans="1:17" ht="29" thickBot="1">
      <c r="A18" s="2" t="s">
        <v>27</v>
      </c>
      <c r="B18" s="3" t="s">
        <v>15</v>
      </c>
      <c r="C18" s="2" t="s">
        <v>28</v>
      </c>
      <c r="D18" s="2" t="s">
        <v>17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  <c r="O18">
        <f t="shared" si="0"/>
        <v>0</v>
      </c>
      <c r="P18">
        <f t="shared" si="1"/>
        <v>0</v>
      </c>
      <c r="Q18">
        <f t="shared" si="2"/>
        <v>0</v>
      </c>
    </row>
    <row r="19" spans="1:17" ht="29" thickBot="1">
      <c r="A19" s="2" t="s">
        <v>27</v>
      </c>
      <c r="B19" s="3" t="s">
        <v>18</v>
      </c>
      <c r="C19" s="2" t="s">
        <v>28</v>
      </c>
      <c r="D19" s="2" t="s">
        <v>17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  <c r="O19">
        <f t="shared" si="0"/>
        <v>0</v>
      </c>
      <c r="P19">
        <f t="shared" si="1"/>
        <v>0</v>
      </c>
      <c r="Q19">
        <f t="shared" si="2"/>
        <v>0</v>
      </c>
    </row>
    <row r="20" spans="1:17" ht="29" thickBot="1">
      <c r="A20" s="2" t="s">
        <v>27</v>
      </c>
      <c r="B20" s="3" t="s">
        <v>19</v>
      </c>
      <c r="C20" s="2" t="s">
        <v>28</v>
      </c>
      <c r="D20" s="2" t="s">
        <v>17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  <c r="O20">
        <f t="shared" si="0"/>
        <v>0</v>
      </c>
      <c r="P20">
        <f t="shared" si="1"/>
        <v>0</v>
      </c>
      <c r="Q20">
        <f t="shared" si="2"/>
        <v>0</v>
      </c>
    </row>
    <row r="21" spans="1:17" ht="29" thickBot="1">
      <c r="A21" s="2" t="s">
        <v>27</v>
      </c>
      <c r="B21" s="3" t="s">
        <v>20</v>
      </c>
      <c r="C21" s="2" t="s">
        <v>28</v>
      </c>
      <c r="D21" s="2" t="s">
        <v>17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  <c r="O21">
        <f t="shared" si="0"/>
        <v>0</v>
      </c>
      <c r="P21">
        <f t="shared" si="1"/>
        <v>0</v>
      </c>
      <c r="Q21">
        <f t="shared" si="2"/>
        <v>0</v>
      </c>
    </row>
    <row r="22" spans="1:17" ht="29" thickBot="1">
      <c r="A22" s="2" t="s">
        <v>29</v>
      </c>
      <c r="B22" s="3" t="s">
        <v>15</v>
      </c>
      <c r="C22" s="2" t="s">
        <v>24</v>
      </c>
      <c r="D22" s="2" t="s">
        <v>17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  <c r="O22">
        <f t="shared" si="0"/>
        <v>0</v>
      </c>
      <c r="P22">
        <f t="shared" si="1"/>
        <v>0</v>
      </c>
      <c r="Q22">
        <f t="shared" si="2"/>
        <v>0</v>
      </c>
    </row>
    <row r="23" spans="1:17" ht="29" thickBot="1">
      <c r="A23" s="2" t="s">
        <v>29</v>
      </c>
      <c r="B23" s="3" t="s">
        <v>18</v>
      </c>
      <c r="C23" s="2" t="s">
        <v>24</v>
      </c>
      <c r="D23" s="2" t="s">
        <v>17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  <c r="O23">
        <f t="shared" si="0"/>
        <v>0</v>
      </c>
      <c r="P23">
        <f t="shared" si="1"/>
        <v>0</v>
      </c>
      <c r="Q23">
        <f t="shared" si="2"/>
        <v>0</v>
      </c>
    </row>
    <row r="24" spans="1:17" ht="29" thickBot="1">
      <c r="A24" s="2" t="s">
        <v>29</v>
      </c>
      <c r="B24" s="3" t="s">
        <v>19</v>
      </c>
      <c r="C24" s="2" t="s">
        <v>24</v>
      </c>
      <c r="D24" s="2" t="s">
        <v>17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  <c r="O24">
        <f t="shared" si="0"/>
        <v>0</v>
      </c>
      <c r="P24">
        <f t="shared" si="1"/>
        <v>0</v>
      </c>
      <c r="Q24">
        <f t="shared" si="2"/>
        <v>0</v>
      </c>
    </row>
    <row r="25" spans="1:17" ht="29" thickBot="1">
      <c r="A25" s="2" t="s">
        <v>29</v>
      </c>
      <c r="B25" s="3" t="s">
        <v>20</v>
      </c>
      <c r="C25" s="2" t="s">
        <v>24</v>
      </c>
      <c r="D25" s="2" t="s">
        <v>17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  <c r="O25">
        <f t="shared" si="0"/>
        <v>0</v>
      </c>
      <c r="P25">
        <f t="shared" si="1"/>
        <v>0</v>
      </c>
      <c r="Q25">
        <f t="shared" si="2"/>
        <v>0</v>
      </c>
    </row>
    <row r="26" spans="1:17" ht="29" thickBot="1">
      <c r="A26" s="2" t="s">
        <v>30</v>
      </c>
      <c r="B26" s="3" t="s">
        <v>15</v>
      </c>
      <c r="C26" s="2" t="s">
        <v>31</v>
      </c>
      <c r="D26" s="2" t="s">
        <v>32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  <c r="O26">
        <f t="shared" si="0"/>
        <v>0</v>
      </c>
      <c r="P26">
        <f t="shared" si="1"/>
        <v>0</v>
      </c>
      <c r="Q26">
        <f t="shared" si="2"/>
        <v>1</v>
      </c>
    </row>
    <row r="27" spans="1:17" ht="29" thickBot="1">
      <c r="A27" s="2" t="s">
        <v>30</v>
      </c>
      <c r="B27" s="3" t="s">
        <v>18</v>
      </c>
      <c r="C27" s="2" t="s">
        <v>31</v>
      </c>
      <c r="D27" s="2" t="s">
        <v>32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  <c r="O27">
        <f t="shared" si="0"/>
        <v>0</v>
      </c>
      <c r="P27">
        <f t="shared" si="1"/>
        <v>0</v>
      </c>
      <c r="Q27">
        <f t="shared" si="2"/>
        <v>1</v>
      </c>
    </row>
    <row r="28" spans="1:17" ht="29" thickBot="1">
      <c r="A28" s="2" t="s">
        <v>30</v>
      </c>
      <c r="B28" s="3" t="s">
        <v>19</v>
      </c>
      <c r="C28" s="2" t="s">
        <v>31</v>
      </c>
      <c r="D28" s="2" t="s">
        <v>32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  <c r="O28">
        <f t="shared" si="0"/>
        <v>0</v>
      </c>
      <c r="P28">
        <f t="shared" si="1"/>
        <v>0</v>
      </c>
      <c r="Q28">
        <f t="shared" si="2"/>
        <v>1</v>
      </c>
    </row>
    <row r="29" spans="1:17" ht="29" thickBot="1">
      <c r="A29" s="2" t="s">
        <v>30</v>
      </c>
      <c r="B29" s="3" t="s">
        <v>20</v>
      </c>
      <c r="C29" s="2" t="s">
        <v>31</v>
      </c>
      <c r="D29" s="2" t="s">
        <v>32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  <c r="O29">
        <f t="shared" si="0"/>
        <v>0</v>
      </c>
      <c r="P29">
        <f t="shared" si="1"/>
        <v>0</v>
      </c>
      <c r="Q29">
        <f t="shared" si="2"/>
        <v>1</v>
      </c>
    </row>
    <row r="30" spans="1:17" ht="29" thickBot="1">
      <c r="A30" s="2" t="s">
        <v>33</v>
      </c>
      <c r="B30" s="3" t="s">
        <v>15</v>
      </c>
      <c r="C30" s="2" t="s">
        <v>16</v>
      </c>
      <c r="D30" s="2" t="s">
        <v>17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  <c r="O30">
        <f t="shared" si="0"/>
        <v>0</v>
      </c>
      <c r="P30">
        <f t="shared" si="1"/>
        <v>0</v>
      </c>
      <c r="Q30">
        <f t="shared" si="2"/>
        <v>0</v>
      </c>
    </row>
    <row r="31" spans="1:17" ht="29" thickBot="1">
      <c r="A31" s="2" t="s">
        <v>33</v>
      </c>
      <c r="B31" s="3" t="s">
        <v>18</v>
      </c>
      <c r="C31" s="2" t="s">
        <v>16</v>
      </c>
      <c r="D31" s="2" t="s">
        <v>17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  <c r="O31">
        <f t="shared" si="0"/>
        <v>0</v>
      </c>
      <c r="P31">
        <f t="shared" si="1"/>
        <v>0</v>
      </c>
      <c r="Q31">
        <f t="shared" si="2"/>
        <v>0</v>
      </c>
    </row>
    <row r="32" spans="1:17" ht="29" thickBot="1">
      <c r="A32" s="2" t="s">
        <v>33</v>
      </c>
      <c r="B32" s="3" t="s">
        <v>19</v>
      </c>
      <c r="C32" s="2" t="s">
        <v>16</v>
      </c>
      <c r="D32" s="2" t="s">
        <v>17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  <c r="O32">
        <f t="shared" si="0"/>
        <v>0</v>
      </c>
      <c r="P32">
        <f t="shared" si="1"/>
        <v>0</v>
      </c>
      <c r="Q32">
        <f t="shared" si="2"/>
        <v>0</v>
      </c>
    </row>
    <row r="33" spans="1:17" ht="29" thickBot="1">
      <c r="A33" s="2" t="s">
        <v>33</v>
      </c>
      <c r="B33" s="3" t="s">
        <v>20</v>
      </c>
      <c r="C33" s="2" t="s">
        <v>16</v>
      </c>
      <c r="D33" s="2" t="s">
        <v>17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  <c r="O33">
        <f t="shared" si="0"/>
        <v>0</v>
      </c>
      <c r="P33">
        <f t="shared" si="1"/>
        <v>0</v>
      </c>
      <c r="Q33">
        <f t="shared" si="2"/>
        <v>0</v>
      </c>
    </row>
    <row r="34" spans="1:17" ht="29" thickBot="1">
      <c r="A34" s="2" t="s">
        <v>34</v>
      </c>
      <c r="B34" s="3" t="s">
        <v>15</v>
      </c>
      <c r="C34" s="2" t="s">
        <v>24</v>
      </c>
      <c r="D34" s="2" t="s">
        <v>17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  <c r="O34">
        <f t="shared" si="0"/>
        <v>0</v>
      </c>
      <c r="P34">
        <f t="shared" si="1"/>
        <v>0</v>
      </c>
      <c r="Q34">
        <f t="shared" si="2"/>
        <v>0</v>
      </c>
    </row>
    <row r="35" spans="1:17" ht="29" thickBot="1">
      <c r="A35" s="2" t="s">
        <v>34</v>
      </c>
      <c r="B35" s="3" t="s">
        <v>18</v>
      </c>
      <c r="C35" s="2" t="s">
        <v>24</v>
      </c>
      <c r="D35" s="2" t="s">
        <v>17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2">
        <v>3.9</v>
      </c>
      <c r="M35" s="3">
        <v>799477.76000000001</v>
      </c>
      <c r="N35" s="3">
        <v>164974.41</v>
      </c>
      <c r="O35">
        <f t="shared" si="0"/>
        <v>0</v>
      </c>
      <c r="P35">
        <f t="shared" si="1"/>
        <v>0</v>
      </c>
      <c r="Q35">
        <f t="shared" si="2"/>
        <v>0</v>
      </c>
    </row>
    <row r="36" spans="1:17" ht="29" thickBot="1">
      <c r="A36" s="2" t="s">
        <v>34</v>
      </c>
      <c r="B36" s="3" t="s">
        <v>19</v>
      </c>
      <c r="C36" s="2" t="s">
        <v>24</v>
      </c>
      <c r="D36" s="2" t="s">
        <v>17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  <c r="O36">
        <f t="shared" si="0"/>
        <v>0</v>
      </c>
      <c r="P36">
        <f t="shared" si="1"/>
        <v>0</v>
      </c>
      <c r="Q36">
        <f t="shared" si="2"/>
        <v>0</v>
      </c>
    </row>
    <row r="37" spans="1:17" ht="29" thickBot="1">
      <c r="A37" s="2" t="s">
        <v>34</v>
      </c>
      <c r="B37" s="3" t="s">
        <v>20</v>
      </c>
      <c r="C37" s="2" t="s">
        <v>24</v>
      </c>
      <c r="D37" s="2" t="s">
        <v>17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  <c r="O37">
        <f t="shared" si="0"/>
        <v>0</v>
      </c>
      <c r="P37">
        <f t="shared" si="1"/>
        <v>0</v>
      </c>
      <c r="Q37">
        <f t="shared" si="2"/>
        <v>0</v>
      </c>
    </row>
    <row r="38" spans="1:17" ht="29" thickBot="1">
      <c r="A38" s="2" t="s">
        <v>35</v>
      </c>
      <c r="B38" s="3" t="s">
        <v>15</v>
      </c>
      <c r="C38" s="2" t="s">
        <v>24</v>
      </c>
      <c r="D38" s="2" t="s">
        <v>32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  <c r="O38">
        <f t="shared" si="0"/>
        <v>0</v>
      </c>
      <c r="P38">
        <f t="shared" si="1"/>
        <v>0</v>
      </c>
      <c r="Q38">
        <f t="shared" si="2"/>
        <v>1</v>
      </c>
    </row>
    <row r="39" spans="1:17" ht="29" thickBot="1">
      <c r="A39" s="2" t="s">
        <v>35</v>
      </c>
      <c r="B39" s="3" t="s">
        <v>18</v>
      </c>
      <c r="C39" s="2" t="s">
        <v>24</v>
      </c>
      <c r="D39" s="2" t="s">
        <v>32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  <c r="O39">
        <f t="shared" si="0"/>
        <v>0</v>
      </c>
      <c r="P39">
        <f t="shared" si="1"/>
        <v>0</v>
      </c>
      <c r="Q39">
        <f t="shared" si="2"/>
        <v>1</v>
      </c>
    </row>
    <row r="40" spans="1:17" ht="29" thickBot="1">
      <c r="A40" s="2" t="s">
        <v>35</v>
      </c>
      <c r="B40" s="3" t="s">
        <v>19</v>
      </c>
      <c r="C40" s="2" t="s">
        <v>24</v>
      </c>
      <c r="D40" s="2" t="s">
        <v>32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  <c r="O40">
        <f t="shared" si="0"/>
        <v>0</v>
      </c>
      <c r="P40">
        <f t="shared" si="1"/>
        <v>0</v>
      </c>
      <c r="Q40">
        <f t="shared" si="2"/>
        <v>1</v>
      </c>
    </row>
    <row r="41" spans="1:17" ht="29" thickBot="1">
      <c r="A41" s="2" t="s">
        <v>35</v>
      </c>
      <c r="B41" s="3" t="s">
        <v>20</v>
      </c>
      <c r="C41" s="2" t="s">
        <v>24</v>
      </c>
      <c r="D41" s="2" t="s">
        <v>32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  <c r="O41">
        <f t="shared" si="0"/>
        <v>0</v>
      </c>
      <c r="P41">
        <f t="shared" si="1"/>
        <v>0</v>
      </c>
      <c r="Q41">
        <f t="shared" si="2"/>
        <v>1</v>
      </c>
    </row>
    <row r="42" spans="1:17" ht="29" thickBot="1">
      <c r="A42" s="2" t="s">
        <v>36</v>
      </c>
      <c r="B42" s="3" t="s">
        <v>15</v>
      </c>
      <c r="C42" s="2" t="s">
        <v>16</v>
      </c>
      <c r="D42" s="2" t="s">
        <v>32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  <c r="O42">
        <f t="shared" si="0"/>
        <v>0</v>
      </c>
      <c r="P42">
        <f t="shared" si="1"/>
        <v>0</v>
      </c>
      <c r="Q42">
        <f t="shared" si="2"/>
        <v>1</v>
      </c>
    </row>
    <row r="43" spans="1:17" ht="29" thickBot="1">
      <c r="A43" s="2" t="s">
        <v>36</v>
      </c>
      <c r="B43" s="3" t="s">
        <v>18</v>
      </c>
      <c r="C43" s="2" t="s">
        <v>16</v>
      </c>
      <c r="D43" s="2" t="s">
        <v>32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  <c r="O43">
        <f t="shared" si="0"/>
        <v>0</v>
      </c>
      <c r="P43">
        <f t="shared" si="1"/>
        <v>0</v>
      </c>
      <c r="Q43">
        <f t="shared" si="2"/>
        <v>1</v>
      </c>
    </row>
    <row r="44" spans="1:17" ht="29" thickBot="1">
      <c r="A44" s="2" t="s">
        <v>36</v>
      </c>
      <c r="B44" s="3" t="s">
        <v>19</v>
      </c>
      <c r="C44" s="2" t="s">
        <v>16</v>
      </c>
      <c r="D44" s="2" t="s">
        <v>32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  <c r="O44">
        <f t="shared" si="0"/>
        <v>0</v>
      </c>
      <c r="P44">
        <f t="shared" si="1"/>
        <v>0</v>
      </c>
      <c r="Q44">
        <f t="shared" si="2"/>
        <v>1</v>
      </c>
    </row>
    <row r="45" spans="1:17" ht="29" thickBot="1">
      <c r="A45" s="2" t="s">
        <v>36</v>
      </c>
      <c r="B45" s="3" t="s">
        <v>20</v>
      </c>
      <c r="C45" s="2" t="s">
        <v>16</v>
      </c>
      <c r="D45" s="2" t="s">
        <v>32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  <c r="O45">
        <f t="shared" si="0"/>
        <v>0</v>
      </c>
      <c r="P45">
        <f t="shared" si="1"/>
        <v>0</v>
      </c>
      <c r="Q45">
        <f t="shared" si="2"/>
        <v>1</v>
      </c>
    </row>
    <row r="46" spans="1:17" ht="29" thickBot="1">
      <c r="A46" s="2" t="s">
        <v>37</v>
      </c>
      <c r="B46" s="3" t="s">
        <v>15</v>
      </c>
      <c r="C46" s="2" t="s">
        <v>31</v>
      </c>
      <c r="D46" s="2" t="s">
        <v>17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  <c r="O46">
        <f t="shared" si="0"/>
        <v>0</v>
      </c>
      <c r="P46">
        <f t="shared" si="1"/>
        <v>0</v>
      </c>
      <c r="Q46">
        <f t="shared" si="2"/>
        <v>0</v>
      </c>
    </row>
    <row r="47" spans="1:17" ht="29" thickBot="1">
      <c r="A47" s="2" t="s">
        <v>37</v>
      </c>
      <c r="B47" s="3" t="s">
        <v>18</v>
      </c>
      <c r="C47" s="2" t="s">
        <v>31</v>
      </c>
      <c r="D47" s="2" t="s">
        <v>17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  <c r="O47">
        <f t="shared" si="0"/>
        <v>0</v>
      </c>
      <c r="P47">
        <f t="shared" si="1"/>
        <v>0</v>
      </c>
      <c r="Q47">
        <f t="shared" si="2"/>
        <v>0</v>
      </c>
    </row>
    <row r="48" spans="1:17" ht="29" thickBot="1">
      <c r="A48" s="2" t="s">
        <v>37</v>
      </c>
      <c r="B48" s="3" t="s">
        <v>19</v>
      </c>
      <c r="C48" s="2" t="s">
        <v>31</v>
      </c>
      <c r="D48" s="2" t="s">
        <v>17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  <c r="O48">
        <f t="shared" si="0"/>
        <v>0</v>
      </c>
      <c r="P48">
        <f t="shared" si="1"/>
        <v>0</v>
      </c>
      <c r="Q48">
        <f t="shared" si="2"/>
        <v>0</v>
      </c>
    </row>
    <row r="49" spans="1:17" ht="29" thickBot="1">
      <c r="A49" s="2" t="s">
        <v>37</v>
      </c>
      <c r="B49" s="3" t="s">
        <v>20</v>
      </c>
      <c r="C49" s="2" t="s">
        <v>31</v>
      </c>
      <c r="D49" s="2" t="s">
        <v>17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  <c r="O49">
        <f t="shared" si="0"/>
        <v>0</v>
      </c>
      <c r="P49">
        <f t="shared" si="1"/>
        <v>0</v>
      </c>
      <c r="Q49">
        <f t="shared" si="2"/>
        <v>0</v>
      </c>
    </row>
    <row r="50" spans="1:17" ht="29" thickBot="1">
      <c r="A50" s="2" t="s">
        <v>38</v>
      </c>
      <c r="B50" s="3" t="s">
        <v>15</v>
      </c>
      <c r="C50" s="2" t="s">
        <v>24</v>
      </c>
      <c r="D50" s="2" t="s">
        <v>32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  <c r="O50">
        <f t="shared" si="0"/>
        <v>0</v>
      </c>
      <c r="P50">
        <f t="shared" si="1"/>
        <v>0</v>
      </c>
      <c r="Q50">
        <f t="shared" si="2"/>
        <v>1</v>
      </c>
    </row>
    <row r="51" spans="1:17" ht="29" thickBot="1">
      <c r="A51" s="2" t="s">
        <v>38</v>
      </c>
      <c r="B51" s="3" t="s">
        <v>18</v>
      </c>
      <c r="C51" s="2" t="s">
        <v>24</v>
      </c>
      <c r="D51" s="2" t="s">
        <v>32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  <c r="O51">
        <f t="shared" si="0"/>
        <v>0</v>
      </c>
      <c r="P51">
        <f t="shared" si="1"/>
        <v>0</v>
      </c>
      <c r="Q51">
        <f t="shared" si="2"/>
        <v>1</v>
      </c>
    </row>
    <row r="52" spans="1:17" ht="29" thickBot="1">
      <c r="A52" s="2" t="s">
        <v>38</v>
      </c>
      <c r="B52" s="3" t="s">
        <v>19</v>
      </c>
      <c r="C52" s="2" t="s">
        <v>24</v>
      </c>
      <c r="D52" s="2" t="s">
        <v>32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  <c r="O52">
        <f t="shared" si="0"/>
        <v>0</v>
      </c>
      <c r="P52">
        <f t="shared" si="1"/>
        <v>0</v>
      </c>
      <c r="Q52">
        <f t="shared" si="2"/>
        <v>1</v>
      </c>
    </row>
    <row r="53" spans="1:17" ht="29" thickBot="1">
      <c r="A53" s="2" t="s">
        <v>38</v>
      </c>
      <c r="B53" s="3" t="s">
        <v>20</v>
      </c>
      <c r="C53" s="2" t="s">
        <v>24</v>
      </c>
      <c r="D53" s="2" t="s">
        <v>32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  <c r="O53">
        <f t="shared" si="0"/>
        <v>0</v>
      </c>
      <c r="P53">
        <f t="shared" si="1"/>
        <v>0</v>
      </c>
      <c r="Q53">
        <f t="shared" si="2"/>
        <v>1</v>
      </c>
    </row>
    <row r="54" spans="1:17" ht="29" thickBot="1">
      <c r="A54" s="2" t="s">
        <v>39</v>
      </c>
      <c r="B54" s="3" t="s">
        <v>15</v>
      </c>
      <c r="C54" s="2" t="s">
        <v>31</v>
      </c>
      <c r="D54" s="2" t="s">
        <v>22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  <c r="O54">
        <f t="shared" si="0"/>
        <v>0</v>
      </c>
      <c r="P54">
        <f t="shared" si="1"/>
        <v>1</v>
      </c>
      <c r="Q54">
        <f t="shared" si="2"/>
        <v>0</v>
      </c>
    </row>
    <row r="55" spans="1:17" ht="29" thickBot="1">
      <c r="A55" s="2" t="s">
        <v>39</v>
      </c>
      <c r="B55" s="3" t="s">
        <v>18</v>
      </c>
      <c r="C55" s="2" t="s">
        <v>31</v>
      </c>
      <c r="D55" s="2" t="s">
        <v>22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  <c r="O55">
        <f t="shared" si="0"/>
        <v>0</v>
      </c>
      <c r="P55">
        <f t="shared" si="1"/>
        <v>1</v>
      </c>
      <c r="Q55">
        <f t="shared" si="2"/>
        <v>0</v>
      </c>
    </row>
    <row r="56" spans="1:17" ht="29" thickBot="1">
      <c r="A56" s="2" t="s">
        <v>39</v>
      </c>
      <c r="B56" s="3" t="s">
        <v>19</v>
      </c>
      <c r="C56" s="2" t="s">
        <v>31</v>
      </c>
      <c r="D56" s="2" t="s">
        <v>22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  <c r="O56">
        <f t="shared" si="0"/>
        <v>0</v>
      </c>
      <c r="P56">
        <f t="shared" si="1"/>
        <v>1</v>
      </c>
      <c r="Q56">
        <f t="shared" si="2"/>
        <v>0</v>
      </c>
    </row>
    <row r="57" spans="1:17" ht="29" thickBot="1">
      <c r="A57" s="2" t="s">
        <v>39</v>
      </c>
      <c r="B57" s="3" t="s">
        <v>20</v>
      </c>
      <c r="C57" s="2" t="s">
        <v>31</v>
      </c>
      <c r="D57" s="2" t="s">
        <v>22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  <c r="O57">
        <f t="shared" si="0"/>
        <v>0</v>
      </c>
      <c r="P57">
        <f t="shared" si="1"/>
        <v>1</v>
      </c>
      <c r="Q57">
        <f t="shared" si="2"/>
        <v>0</v>
      </c>
    </row>
    <row r="58" spans="1:17" ht="29" thickBot="1">
      <c r="A58" s="2" t="s">
        <v>40</v>
      </c>
      <c r="B58" s="3" t="s">
        <v>15</v>
      </c>
      <c r="C58" s="2" t="s">
        <v>16</v>
      </c>
      <c r="D58" s="2" t="s">
        <v>25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  <c r="O58">
        <f t="shared" si="0"/>
        <v>1</v>
      </c>
      <c r="P58">
        <f t="shared" si="1"/>
        <v>0</v>
      </c>
      <c r="Q58">
        <f t="shared" si="2"/>
        <v>0</v>
      </c>
    </row>
    <row r="59" spans="1:17" ht="29" thickBot="1">
      <c r="A59" s="2" t="s">
        <v>40</v>
      </c>
      <c r="B59" s="3" t="s">
        <v>18</v>
      </c>
      <c r="C59" s="2" t="s">
        <v>16</v>
      </c>
      <c r="D59" s="2" t="s">
        <v>25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  <c r="O59">
        <f t="shared" si="0"/>
        <v>1</v>
      </c>
      <c r="P59">
        <f t="shared" si="1"/>
        <v>0</v>
      </c>
      <c r="Q59">
        <f t="shared" si="2"/>
        <v>0</v>
      </c>
    </row>
    <row r="60" spans="1:17" ht="29" thickBot="1">
      <c r="A60" s="2" t="s">
        <v>40</v>
      </c>
      <c r="B60" s="3" t="s">
        <v>19</v>
      </c>
      <c r="C60" s="2" t="s">
        <v>16</v>
      </c>
      <c r="D60" s="2" t="s">
        <v>25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  <c r="O60">
        <f t="shared" si="0"/>
        <v>1</v>
      </c>
      <c r="P60">
        <f t="shared" si="1"/>
        <v>0</v>
      </c>
      <c r="Q60">
        <f t="shared" si="2"/>
        <v>0</v>
      </c>
    </row>
    <row r="61" spans="1:17" ht="29" thickBot="1">
      <c r="A61" s="2" t="s">
        <v>40</v>
      </c>
      <c r="B61" s="3" t="s">
        <v>20</v>
      </c>
      <c r="C61" s="2" t="s">
        <v>16</v>
      </c>
      <c r="D61" s="2" t="s">
        <v>25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  <c r="O61">
        <f t="shared" si="0"/>
        <v>1</v>
      </c>
      <c r="P61">
        <f t="shared" si="1"/>
        <v>0</v>
      </c>
      <c r="Q61">
        <f t="shared" si="2"/>
        <v>0</v>
      </c>
    </row>
    <row r="62" spans="1:17" ht="29" thickBot="1">
      <c r="A62" s="2" t="s">
        <v>41</v>
      </c>
      <c r="B62" s="3" t="s">
        <v>15</v>
      </c>
      <c r="C62" s="2" t="s">
        <v>28</v>
      </c>
      <c r="D62" s="2" t="s">
        <v>22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  <c r="O62">
        <f t="shared" si="0"/>
        <v>0</v>
      </c>
      <c r="P62">
        <f t="shared" si="1"/>
        <v>1</v>
      </c>
      <c r="Q62">
        <f t="shared" si="2"/>
        <v>0</v>
      </c>
    </row>
    <row r="63" spans="1:17" ht="29" thickBot="1">
      <c r="A63" s="2" t="s">
        <v>41</v>
      </c>
      <c r="B63" s="3" t="s">
        <v>18</v>
      </c>
      <c r="C63" s="2" t="s">
        <v>28</v>
      </c>
      <c r="D63" s="2" t="s">
        <v>22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  <c r="O63">
        <f t="shared" si="0"/>
        <v>0</v>
      </c>
      <c r="P63">
        <f t="shared" si="1"/>
        <v>1</v>
      </c>
      <c r="Q63">
        <f t="shared" si="2"/>
        <v>0</v>
      </c>
    </row>
    <row r="64" spans="1:17" ht="29" thickBot="1">
      <c r="A64" s="2" t="s">
        <v>41</v>
      </c>
      <c r="B64" s="3" t="s">
        <v>19</v>
      </c>
      <c r="C64" s="2" t="s">
        <v>28</v>
      </c>
      <c r="D64" s="2" t="s">
        <v>22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  <c r="O64">
        <f t="shared" si="0"/>
        <v>0</v>
      </c>
      <c r="P64">
        <f t="shared" si="1"/>
        <v>1</v>
      </c>
      <c r="Q64">
        <f t="shared" si="2"/>
        <v>0</v>
      </c>
    </row>
    <row r="65" spans="1:17" ht="29" thickBot="1">
      <c r="A65" s="2" t="s">
        <v>41</v>
      </c>
      <c r="B65" s="3" t="s">
        <v>20</v>
      </c>
      <c r="C65" s="2" t="s">
        <v>28</v>
      </c>
      <c r="D65" s="2" t="s">
        <v>22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  <c r="O65">
        <f t="shared" si="0"/>
        <v>0</v>
      </c>
      <c r="P65">
        <f t="shared" si="1"/>
        <v>1</v>
      </c>
      <c r="Q65">
        <f t="shared" si="2"/>
        <v>0</v>
      </c>
    </row>
    <row r="66" spans="1:17" ht="29" thickBot="1">
      <c r="A66" s="2" t="s">
        <v>42</v>
      </c>
      <c r="B66" s="3" t="s">
        <v>15</v>
      </c>
      <c r="C66" s="2" t="s">
        <v>31</v>
      </c>
      <c r="D66" s="2" t="s">
        <v>22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  <c r="O66">
        <f t="shared" si="0"/>
        <v>0</v>
      </c>
      <c r="P66">
        <f t="shared" si="1"/>
        <v>1</v>
      </c>
      <c r="Q66">
        <f t="shared" si="2"/>
        <v>0</v>
      </c>
    </row>
    <row r="67" spans="1:17" ht="29" thickBot="1">
      <c r="A67" s="2" t="s">
        <v>42</v>
      </c>
      <c r="B67" s="3" t="s">
        <v>18</v>
      </c>
      <c r="C67" s="2" t="s">
        <v>31</v>
      </c>
      <c r="D67" s="2" t="s">
        <v>22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  <c r="O67">
        <f t="shared" ref="O67:O130" si="3">IF(D67="Airport", 1, 0)</f>
        <v>0</v>
      </c>
      <c r="P67">
        <f t="shared" ref="P67:P130" si="4">IF(D67="High Street", 1, 0)</f>
        <v>1</v>
      </c>
      <c r="Q67">
        <f t="shared" ref="Q67:Q130" si="5">IF(D67="Mall", 1, 0)</f>
        <v>0</v>
      </c>
    </row>
    <row r="68" spans="1:17" ht="29" thickBot="1">
      <c r="A68" s="2" t="s">
        <v>42</v>
      </c>
      <c r="B68" s="3" t="s">
        <v>19</v>
      </c>
      <c r="C68" s="2" t="s">
        <v>31</v>
      </c>
      <c r="D68" s="2" t="s">
        <v>22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  <c r="O68">
        <f t="shared" si="3"/>
        <v>0</v>
      </c>
      <c r="P68">
        <f t="shared" si="4"/>
        <v>1</v>
      </c>
      <c r="Q68">
        <f t="shared" si="5"/>
        <v>0</v>
      </c>
    </row>
    <row r="69" spans="1:17" ht="29" thickBot="1">
      <c r="A69" s="2" t="s">
        <v>42</v>
      </c>
      <c r="B69" s="3" t="s">
        <v>20</v>
      </c>
      <c r="C69" s="2" t="s">
        <v>31</v>
      </c>
      <c r="D69" s="2" t="s">
        <v>22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  <c r="O69">
        <f t="shared" si="3"/>
        <v>0</v>
      </c>
      <c r="P69">
        <f t="shared" si="4"/>
        <v>1</v>
      </c>
      <c r="Q69">
        <f t="shared" si="5"/>
        <v>0</v>
      </c>
    </row>
    <row r="70" spans="1:17" ht="29" thickBot="1">
      <c r="A70" s="2" t="s">
        <v>43</v>
      </c>
      <c r="B70" s="3" t="s">
        <v>15</v>
      </c>
      <c r="C70" s="2" t="s">
        <v>16</v>
      </c>
      <c r="D70" s="2" t="s">
        <v>22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  <c r="O70">
        <f t="shared" si="3"/>
        <v>0</v>
      </c>
      <c r="P70">
        <f t="shared" si="4"/>
        <v>1</v>
      </c>
      <c r="Q70">
        <f t="shared" si="5"/>
        <v>0</v>
      </c>
    </row>
    <row r="71" spans="1:17" ht="29" thickBot="1">
      <c r="A71" s="2" t="s">
        <v>43</v>
      </c>
      <c r="B71" s="3" t="s">
        <v>18</v>
      </c>
      <c r="C71" s="2" t="s">
        <v>16</v>
      </c>
      <c r="D71" s="2" t="s">
        <v>22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  <c r="O71">
        <f t="shared" si="3"/>
        <v>0</v>
      </c>
      <c r="P71">
        <f t="shared" si="4"/>
        <v>1</v>
      </c>
      <c r="Q71">
        <f t="shared" si="5"/>
        <v>0</v>
      </c>
    </row>
    <row r="72" spans="1:17" ht="29" thickBot="1">
      <c r="A72" s="2" t="s">
        <v>43</v>
      </c>
      <c r="B72" s="3" t="s">
        <v>19</v>
      </c>
      <c r="C72" s="2" t="s">
        <v>16</v>
      </c>
      <c r="D72" s="2" t="s">
        <v>22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  <c r="O72">
        <f t="shared" si="3"/>
        <v>0</v>
      </c>
      <c r="P72">
        <f t="shared" si="4"/>
        <v>1</v>
      </c>
      <c r="Q72">
        <f t="shared" si="5"/>
        <v>0</v>
      </c>
    </row>
    <row r="73" spans="1:17" ht="29" thickBot="1">
      <c r="A73" s="2" t="s">
        <v>43</v>
      </c>
      <c r="B73" s="3" t="s">
        <v>20</v>
      </c>
      <c r="C73" s="2" t="s">
        <v>16</v>
      </c>
      <c r="D73" s="2" t="s">
        <v>22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2">
        <v>4.55</v>
      </c>
      <c r="K73" s="3">
        <v>0</v>
      </c>
      <c r="L73" s="3">
        <v>3.5</v>
      </c>
      <c r="M73" s="3">
        <v>674774.09</v>
      </c>
      <c r="N73" s="3">
        <v>141917.59</v>
      </c>
      <c r="O73">
        <f t="shared" si="3"/>
        <v>0</v>
      </c>
      <c r="P73">
        <f t="shared" si="4"/>
        <v>1</v>
      </c>
      <c r="Q73">
        <f t="shared" si="5"/>
        <v>0</v>
      </c>
    </row>
    <row r="74" spans="1:17" ht="29" thickBot="1">
      <c r="A74" s="2" t="s">
        <v>44</v>
      </c>
      <c r="B74" s="3" t="s">
        <v>15</v>
      </c>
      <c r="C74" s="2" t="s">
        <v>16</v>
      </c>
      <c r="D74" s="2" t="s">
        <v>17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  <c r="O74">
        <f t="shared" si="3"/>
        <v>0</v>
      </c>
      <c r="P74">
        <f t="shared" si="4"/>
        <v>0</v>
      </c>
      <c r="Q74">
        <f t="shared" si="5"/>
        <v>0</v>
      </c>
    </row>
    <row r="75" spans="1:17" ht="29" thickBot="1">
      <c r="A75" s="2" t="s">
        <v>44</v>
      </c>
      <c r="B75" s="3" t="s">
        <v>18</v>
      </c>
      <c r="C75" s="2" t="s">
        <v>16</v>
      </c>
      <c r="D75" s="2" t="s">
        <v>17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  <c r="O75">
        <f t="shared" si="3"/>
        <v>0</v>
      </c>
      <c r="P75">
        <f t="shared" si="4"/>
        <v>0</v>
      </c>
      <c r="Q75">
        <f t="shared" si="5"/>
        <v>0</v>
      </c>
    </row>
    <row r="76" spans="1:17" ht="29" thickBot="1">
      <c r="A76" s="2" t="s">
        <v>44</v>
      </c>
      <c r="B76" s="3" t="s">
        <v>19</v>
      </c>
      <c r="C76" s="2" t="s">
        <v>16</v>
      </c>
      <c r="D76" s="2" t="s">
        <v>17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  <c r="O76">
        <f t="shared" si="3"/>
        <v>0</v>
      </c>
      <c r="P76">
        <f t="shared" si="4"/>
        <v>0</v>
      </c>
      <c r="Q76">
        <f t="shared" si="5"/>
        <v>0</v>
      </c>
    </row>
    <row r="77" spans="1:17" ht="29" thickBot="1">
      <c r="A77" s="2" t="s">
        <v>44</v>
      </c>
      <c r="B77" s="3" t="s">
        <v>20</v>
      </c>
      <c r="C77" s="2" t="s">
        <v>16</v>
      </c>
      <c r="D77" s="2" t="s">
        <v>17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  <c r="O77">
        <f t="shared" si="3"/>
        <v>0</v>
      </c>
      <c r="P77">
        <f t="shared" si="4"/>
        <v>0</v>
      </c>
      <c r="Q77">
        <f t="shared" si="5"/>
        <v>0</v>
      </c>
    </row>
    <row r="78" spans="1:17" ht="29" thickBot="1">
      <c r="A78" s="2" t="s">
        <v>45</v>
      </c>
      <c r="B78" s="3" t="s">
        <v>15</v>
      </c>
      <c r="C78" s="2" t="s">
        <v>28</v>
      </c>
      <c r="D78" s="2" t="s">
        <v>22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  <c r="O78">
        <f t="shared" si="3"/>
        <v>0</v>
      </c>
      <c r="P78">
        <f t="shared" si="4"/>
        <v>1</v>
      </c>
      <c r="Q78">
        <f t="shared" si="5"/>
        <v>0</v>
      </c>
    </row>
    <row r="79" spans="1:17" ht="29" thickBot="1">
      <c r="A79" s="2" t="s">
        <v>45</v>
      </c>
      <c r="B79" s="3" t="s">
        <v>18</v>
      </c>
      <c r="C79" s="2" t="s">
        <v>28</v>
      </c>
      <c r="D79" s="2" t="s">
        <v>22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  <c r="O79">
        <f t="shared" si="3"/>
        <v>0</v>
      </c>
      <c r="P79">
        <f t="shared" si="4"/>
        <v>1</v>
      </c>
      <c r="Q79">
        <f t="shared" si="5"/>
        <v>0</v>
      </c>
    </row>
    <row r="80" spans="1:17" ht="29" thickBot="1">
      <c r="A80" s="2" t="s">
        <v>45</v>
      </c>
      <c r="B80" s="3" t="s">
        <v>19</v>
      </c>
      <c r="C80" s="2" t="s">
        <v>28</v>
      </c>
      <c r="D80" s="2" t="s">
        <v>22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  <c r="O80">
        <f t="shared" si="3"/>
        <v>0</v>
      </c>
      <c r="P80">
        <f t="shared" si="4"/>
        <v>1</v>
      </c>
      <c r="Q80">
        <f t="shared" si="5"/>
        <v>0</v>
      </c>
    </row>
    <row r="81" spans="1:17" ht="29" thickBot="1">
      <c r="A81" s="2" t="s">
        <v>45</v>
      </c>
      <c r="B81" s="3" t="s">
        <v>20</v>
      </c>
      <c r="C81" s="2" t="s">
        <v>28</v>
      </c>
      <c r="D81" s="2" t="s">
        <v>22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  <c r="O81">
        <f t="shared" si="3"/>
        <v>0</v>
      </c>
      <c r="P81">
        <f t="shared" si="4"/>
        <v>1</v>
      </c>
      <c r="Q81">
        <f t="shared" si="5"/>
        <v>0</v>
      </c>
    </row>
    <row r="82" spans="1:17" ht="29" thickBot="1">
      <c r="A82" s="2" t="s">
        <v>46</v>
      </c>
      <c r="B82" s="3" t="s">
        <v>15</v>
      </c>
      <c r="C82" s="2" t="s">
        <v>31</v>
      </c>
      <c r="D82" s="2" t="s">
        <v>32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  <c r="O82">
        <f t="shared" si="3"/>
        <v>0</v>
      </c>
      <c r="P82">
        <f t="shared" si="4"/>
        <v>0</v>
      </c>
      <c r="Q82">
        <f t="shared" si="5"/>
        <v>1</v>
      </c>
    </row>
    <row r="83" spans="1:17" ht="29" thickBot="1">
      <c r="A83" s="2" t="s">
        <v>46</v>
      </c>
      <c r="B83" s="3" t="s">
        <v>18</v>
      </c>
      <c r="C83" s="2" t="s">
        <v>31</v>
      </c>
      <c r="D83" s="2" t="s">
        <v>32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  <c r="O83">
        <f t="shared" si="3"/>
        <v>0</v>
      </c>
      <c r="P83">
        <f t="shared" si="4"/>
        <v>0</v>
      </c>
      <c r="Q83">
        <f t="shared" si="5"/>
        <v>1</v>
      </c>
    </row>
    <row r="84" spans="1:17" ht="29" thickBot="1">
      <c r="A84" s="2" t="s">
        <v>46</v>
      </c>
      <c r="B84" s="3" t="s">
        <v>19</v>
      </c>
      <c r="C84" s="2" t="s">
        <v>31</v>
      </c>
      <c r="D84" s="2" t="s">
        <v>32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  <c r="O84">
        <f t="shared" si="3"/>
        <v>0</v>
      </c>
      <c r="P84">
        <f t="shared" si="4"/>
        <v>0</v>
      </c>
      <c r="Q84">
        <f t="shared" si="5"/>
        <v>1</v>
      </c>
    </row>
    <row r="85" spans="1:17" ht="29" thickBot="1">
      <c r="A85" s="2" t="s">
        <v>46</v>
      </c>
      <c r="B85" s="3" t="s">
        <v>20</v>
      </c>
      <c r="C85" s="2" t="s">
        <v>31</v>
      </c>
      <c r="D85" s="2" t="s">
        <v>32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  <c r="O85">
        <f t="shared" si="3"/>
        <v>0</v>
      </c>
      <c r="P85">
        <f t="shared" si="4"/>
        <v>0</v>
      </c>
      <c r="Q85">
        <f t="shared" si="5"/>
        <v>1</v>
      </c>
    </row>
    <row r="86" spans="1:17" ht="29" thickBot="1">
      <c r="A86" s="2" t="s">
        <v>47</v>
      </c>
      <c r="B86" s="3" t="s">
        <v>15</v>
      </c>
      <c r="C86" s="2" t="s">
        <v>31</v>
      </c>
      <c r="D86" s="2" t="s">
        <v>22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  <c r="O86">
        <f t="shared" si="3"/>
        <v>0</v>
      </c>
      <c r="P86">
        <f t="shared" si="4"/>
        <v>1</v>
      </c>
      <c r="Q86">
        <f t="shared" si="5"/>
        <v>0</v>
      </c>
    </row>
    <row r="87" spans="1:17" ht="29" thickBot="1">
      <c r="A87" s="2" t="s">
        <v>47</v>
      </c>
      <c r="B87" s="3" t="s">
        <v>18</v>
      </c>
      <c r="C87" s="2" t="s">
        <v>31</v>
      </c>
      <c r="D87" s="2" t="s">
        <v>22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2">
        <v>3.9</v>
      </c>
      <c r="M87" s="3">
        <v>611766.72</v>
      </c>
      <c r="N87" s="3">
        <v>88275.61</v>
      </c>
      <c r="O87">
        <f t="shared" si="3"/>
        <v>0</v>
      </c>
      <c r="P87">
        <f t="shared" si="4"/>
        <v>1</v>
      </c>
      <c r="Q87">
        <f t="shared" si="5"/>
        <v>0</v>
      </c>
    </row>
    <row r="88" spans="1:17" ht="29" thickBot="1">
      <c r="A88" s="2" t="s">
        <v>47</v>
      </c>
      <c r="B88" s="3" t="s">
        <v>19</v>
      </c>
      <c r="C88" s="2" t="s">
        <v>31</v>
      </c>
      <c r="D88" s="2" t="s">
        <v>22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  <c r="O88">
        <f t="shared" si="3"/>
        <v>0</v>
      </c>
      <c r="P88">
        <f t="shared" si="4"/>
        <v>1</v>
      </c>
      <c r="Q88">
        <f t="shared" si="5"/>
        <v>0</v>
      </c>
    </row>
    <row r="89" spans="1:17" ht="29" thickBot="1">
      <c r="A89" s="2" t="s">
        <v>47</v>
      </c>
      <c r="B89" s="3" t="s">
        <v>20</v>
      </c>
      <c r="C89" s="2" t="s">
        <v>31</v>
      </c>
      <c r="D89" s="2" t="s">
        <v>22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  <c r="O89">
        <f t="shared" si="3"/>
        <v>0</v>
      </c>
      <c r="P89">
        <f t="shared" si="4"/>
        <v>1</v>
      </c>
      <c r="Q89">
        <f t="shared" si="5"/>
        <v>0</v>
      </c>
    </row>
    <row r="90" spans="1:17" ht="29" thickBot="1">
      <c r="A90" s="2" t="s">
        <v>48</v>
      </c>
      <c r="B90" s="3" t="s">
        <v>15</v>
      </c>
      <c r="C90" s="2" t="s">
        <v>28</v>
      </c>
      <c r="D90" s="2" t="s">
        <v>32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  <c r="O90">
        <f t="shared" si="3"/>
        <v>0</v>
      </c>
      <c r="P90">
        <f t="shared" si="4"/>
        <v>0</v>
      </c>
      <c r="Q90">
        <f t="shared" si="5"/>
        <v>1</v>
      </c>
    </row>
    <row r="91" spans="1:17" ht="29" thickBot="1">
      <c r="A91" s="2" t="s">
        <v>48</v>
      </c>
      <c r="B91" s="3" t="s">
        <v>18</v>
      </c>
      <c r="C91" s="2" t="s">
        <v>28</v>
      </c>
      <c r="D91" s="2" t="s">
        <v>32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  <c r="O91">
        <f t="shared" si="3"/>
        <v>0</v>
      </c>
      <c r="P91">
        <f t="shared" si="4"/>
        <v>0</v>
      </c>
      <c r="Q91">
        <f t="shared" si="5"/>
        <v>1</v>
      </c>
    </row>
    <row r="92" spans="1:17" ht="29" thickBot="1">
      <c r="A92" s="2" t="s">
        <v>48</v>
      </c>
      <c r="B92" s="3" t="s">
        <v>19</v>
      </c>
      <c r="C92" s="2" t="s">
        <v>28</v>
      </c>
      <c r="D92" s="2" t="s">
        <v>32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  <c r="O92">
        <f t="shared" si="3"/>
        <v>0</v>
      </c>
      <c r="P92">
        <f t="shared" si="4"/>
        <v>0</v>
      </c>
      <c r="Q92">
        <f t="shared" si="5"/>
        <v>1</v>
      </c>
    </row>
    <row r="93" spans="1:17" ht="29" thickBot="1">
      <c r="A93" s="2" t="s">
        <v>48</v>
      </c>
      <c r="B93" s="3" t="s">
        <v>20</v>
      </c>
      <c r="C93" s="2" t="s">
        <v>28</v>
      </c>
      <c r="D93" s="2" t="s">
        <v>32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  <c r="O93">
        <f t="shared" si="3"/>
        <v>0</v>
      </c>
      <c r="P93">
        <f t="shared" si="4"/>
        <v>0</v>
      </c>
      <c r="Q93">
        <f t="shared" si="5"/>
        <v>1</v>
      </c>
    </row>
    <row r="94" spans="1:17" ht="29" thickBot="1">
      <c r="A94" s="2" t="s">
        <v>49</v>
      </c>
      <c r="B94" s="3" t="s">
        <v>15</v>
      </c>
      <c r="C94" s="2" t="s">
        <v>31</v>
      </c>
      <c r="D94" s="2" t="s">
        <v>17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  <c r="O94">
        <f t="shared" si="3"/>
        <v>0</v>
      </c>
      <c r="P94">
        <f t="shared" si="4"/>
        <v>0</v>
      </c>
      <c r="Q94">
        <f t="shared" si="5"/>
        <v>0</v>
      </c>
    </row>
    <row r="95" spans="1:17" ht="29" thickBot="1">
      <c r="A95" s="2" t="s">
        <v>49</v>
      </c>
      <c r="B95" s="3" t="s">
        <v>18</v>
      </c>
      <c r="C95" s="2" t="s">
        <v>31</v>
      </c>
      <c r="D95" s="2" t="s">
        <v>17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  <c r="O95">
        <f t="shared" si="3"/>
        <v>0</v>
      </c>
      <c r="P95">
        <f t="shared" si="4"/>
        <v>0</v>
      </c>
      <c r="Q95">
        <f t="shared" si="5"/>
        <v>0</v>
      </c>
    </row>
    <row r="96" spans="1:17" ht="29" thickBot="1">
      <c r="A96" s="2" t="s">
        <v>49</v>
      </c>
      <c r="B96" s="3" t="s">
        <v>19</v>
      </c>
      <c r="C96" s="2" t="s">
        <v>31</v>
      </c>
      <c r="D96" s="2" t="s">
        <v>17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  <c r="O96">
        <f t="shared" si="3"/>
        <v>0</v>
      </c>
      <c r="P96">
        <f t="shared" si="4"/>
        <v>0</v>
      </c>
      <c r="Q96">
        <f t="shared" si="5"/>
        <v>0</v>
      </c>
    </row>
    <row r="97" spans="1:17" ht="29" thickBot="1">
      <c r="A97" s="2" t="s">
        <v>49</v>
      </c>
      <c r="B97" s="3" t="s">
        <v>20</v>
      </c>
      <c r="C97" s="2" t="s">
        <v>31</v>
      </c>
      <c r="D97" s="2" t="s">
        <v>17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  <c r="O97">
        <f t="shared" si="3"/>
        <v>0</v>
      </c>
      <c r="P97">
        <f t="shared" si="4"/>
        <v>0</v>
      </c>
      <c r="Q97">
        <f t="shared" si="5"/>
        <v>0</v>
      </c>
    </row>
    <row r="98" spans="1:17" ht="29" thickBot="1">
      <c r="A98" s="2" t="s">
        <v>50</v>
      </c>
      <c r="B98" s="3" t="s">
        <v>15</v>
      </c>
      <c r="C98" s="2" t="s">
        <v>31</v>
      </c>
      <c r="D98" s="2" t="s">
        <v>32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  <c r="O98">
        <f t="shared" si="3"/>
        <v>0</v>
      </c>
      <c r="P98">
        <f t="shared" si="4"/>
        <v>0</v>
      </c>
      <c r="Q98">
        <f t="shared" si="5"/>
        <v>1</v>
      </c>
    </row>
    <row r="99" spans="1:17" ht="29" thickBot="1">
      <c r="A99" s="2" t="s">
        <v>50</v>
      </c>
      <c r="B99" s="3" t="s">
        <v>18</v>
      </c>
      <c r="C99" s="2" t="s">
        <v>31</v>
      </c>
      <c r="D99" s="2" t="s">
        <v>32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  <c r="O99">
        <f t="shared" si="3"/>
        <v>0</v>
      </c>
      <c r="P99">
        <f t="shared" si="4"/>
        <v>0</v>
      </c>
      <c r="Q99">
        <f t="shared" si="5"/>
        <v>1</v>
      </c>
    </row>
    <row r="100" spans="1:17" ht="29" thickBot="1">
      <c r="A100" s="2" t="s">
        <v>50</v>
      </c>
      <c r="B100" s="3" t="s">
        <v>19</v>
      </c>
      <c r="C100" s="2" t="s">
        <v>31</v>
      </c>
      <c r="D100" s="2" t="s">
        <v>32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2">
        <v>4.55</v>
      </c>
      <c r="K100" s="3">
        <v>0</v>
      </c>
      <c r="L100" s="3">
        <v>4.3</v>
      </c>
      <c r="M100" s="3">
        <v>605775.32999999996</v>
      </c>
      <c r="N100" s="3">
        <v>107194.6</v>
      </c>
      <c r="O100">
        <f t="shared" si="3"/>
        <v>0</v>
      </c>
      <c r="P100">
        <f t="shared" si="4"/>
        <v>0</v>
      </c>
      <c r="Q100">
        <f t="shared" si="5"/>
        <v>1</v>
      </c>
    </row>
    <row r="101" spans="1:17" ht="29" thickBot="1">
      <c r="A101" s="2" t="s">
        <v>50</v>
      </c>
      <c r="B101" s="3" t="s">
        <v>20</v>
      </c>
      <c r="C101" s="2" t="s">
        <v>31</v>
      </c>
      <c r="D101" s="2" t="s">
        <v>32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  <c r="O101">
        <f t="shared" si="3"/>
        <v>0</v>
      </c>
      <c r="P101">
        <f t="shared" si="4"/>
        <v>0</v>
      </c>
      <c r="Q101">
        <f t="shared" si="5"/>
        <v>1</v>
      </c>
    </row>
    <row r="102" spans="1:17" ht="29" thickBot="1">
      <c r="A102" s="2" t="s">
        <v>51</v>
      </c>
      <c r="B102" s="3" t="s">
        <v>15</v>
      </c>
      <c r="C102" s="2" t="s">
        <v>16</v>
      </c>
      <c r="D102" s="2" t="s">
        <v>32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  <c r="O102">
        <f t="shared" si="3"/>
        <v>0</v>
      </c>
      <c r="P102">
        <f t="shared" si="4"/>
        <v>0</v>
      </c>
      <c r="Q102">
        <f t="shared" si="5"/>
        <v>1</v>
      </c>
    </row>
    <row r="103" spans="1:17" ht="29" thickBot="1">
      <c r="A103" s="2" t="s">
        <v>51</v>
      </c>
      <c r="B103" s="3" t="s">
        <v>18</v>
      </c>
      <c r="C103" s="2" t="s">
        <v>16</v>
      </c>
      <c r="D103" s="2" t="s">
        <v>32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  <c r="O103">
        <f t="shared" si="3"/>
        <v>0</v>
      </c>
      <c r="P103">
        <f t="shared" si="4"/>
        <v>0</v>
      </c>
      <c r="Q103">
        <f t="shared" si="5"/>
        <v>1</v>
      </c>
    </row>
    <row r="104" spans="1:17" ht="29" thickBot="1">
      <c r="A104" s="2" t="s">
        <v>51</v>
      </c>
      <c r="B104" s="3" t="s">
        <v>19</v>
      </c>
      <c r="C104" s="2" t="s">
        <v>16</v>
      </c>
      <c r="D104" s="2" t="s">
        <v>32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  <c r="O104">
        <f t="shared" si="3"/>
        <v>0</v>
      </c>
      <c r="P104">
        <f t="shared" si="4"/>
        <v>0</v>
      </c>
      <c r="Q104">
        <f t="shared" si="5"/>
        <v>1</v>
      </c>
    </row>
    <row r="105" spans="1:17" ht="29" thickBot="1">
      <c r="A105" s="2" t="s">
        <v>51</v>
      </c>
      <c r="B105" s="3" t="s">
        <v>20</v>
      </c>
      <c r="C105" s="2" t="s">
        <v>16</v>
      </c>
      <c r="D105" s="2" t="s">
        <v>32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  <c r="O105">
        <f t="shared" si="3"/>
        <v>0</v>
      </c>
      <c r="P105">
        <f t="shared" si="4"/>
        <v>0</v>
      </c>
      <c r="Q105">
        <f t="shared" si="5"/>
        <v>1</v>
      </c>
    </row>
    <row r="106" spans="1:17" ht="29" thickBot="1">
      <c r="A106" s="2" t="s">
        <v>52</v>
      </c>
      <c r="B106" s="3" t="s">
        <v>15</v>
      </c>
      <c r="C106" s="2" t="s">
        <v>31</v>
      </c>
      <c r="D106" s="2" t="s">
        <v>22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  <c r="O106">
        <f t="shared" si="3"/>
        <v>0</v>
      </c>
      <c r="P106">
        <f t="shared" si="4"/>
        <v>1</v>
      </c>
      <c r="Q106">
        <f t="shared" si="5"/>
        <v>0</v>
      </c>
    </row>
    <row r="107" spans="1:17" ht="29" thickBot="1">
      <c r="A107" s="2" t="s">
        <v>52</v>
      </c>
      <c r="B107" s="3" t="s">
        <v>18</v>
      </c>
      <c r="C107" s="2" t="s">
        <v>31</v>
      </c>
      <c r="D107" s="2" t="s">
        <v>22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  <c r="O107">
        <f t="shared" si="3"/>
        <v>0</v>
      </c>
      <c r="P107">
        <f t="shared" si="4"/>
        <v>1</v>
      </c>
      <c r="Q107">
        <f t="shared" si="5"/>
        <v>0</v>
      </c>
    </row>
    <row r="108" spans="1:17" ht="29" thickBot="1">
      <c r="A108" s="2" t="s">
        <v>52</v>
      </c>
      <c r="B108" s="3" t="s">
        <v>19</v>
      </c>
      <c r="C108" s="2" t="s">
        <v>31</v>
      </c>
      <c r="D108" s="2" t="s">
        <v>22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  <c r="O108">
        <f t="shared" si="3"/>
        <v>0</v>
      </c>
      <c r="P108">
        <f t="shared" si="4"/>
        <v>1</v>
      </c>
      <c r="Q108">
        <f t="shared" si="5"/>
        <v>0</v>
      </c>
    </row>
    <row r="109" spans="1:17" ht="29" thickBot="1">
      <c r="A109" s="2" t="s">
        <v>52</v>
      </c>
      <c r="B109" s="3" t="s">
        <v>20</v>
      </c>
      <c r="C109" s="2" t="s">
        <v>31</v>
      </c>
      <c r="D109" s="2" t="s">
        <v>22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  <c r="O109">
        <f t="shared" si="3"/>
        <v>0</v>
      </c>
      <c r="P109">
        <f t="shared" si="4"/>
        <v>1</v>
      </c>
      <c r="Q109">
        <f t="shared" si="5"/>
        <v>0</v>
      </c>
    </row>
    <row r="110" spans="1:17" ht="29" thickBot="1">
      <c r="A110" s="2" t="s">
        <v>53</v>
      </c>
      <c r="B110" s="3" t="s">
        <v>15</v>
      </c>
      <c r="C110" s="2" t="s">
        <v>16</v>
      </c>
      <c r="D110" s="2" t="s">
        <v>32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  <c r="O110">
        <f t="shared" si="3"/>
        <v>0</v>
      </c>
      <c r="P110">
        <f t="shared" si="4"/>
        <v>0</v>
      </c>
      <c r="Q110">
        <f t="shared" si="5"/>
        <v>1</v>
      </c>
    </row>
    <row r="111" spans="1:17" ht="29" thickBot="1">
      <c r="A111" s="2" t="s">
        <v>53</v>
      </c>
      <c r="B111" s="3" t="s">
        <v>18</v>
      </c>
      <c r="C111" s="2" t="s">
        <v>16</v>
      </c>
      <c r="D111" s="2" t="s">
        <v>32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  <c r="O111">
        <f t="shared" si="3"/>
        <v>0</v>
      </c>
      <c r="P111">
        <f t="shared" si="4"/>
        <v>0</v>
      </c>
      <c r="Q111">
        <f t="shared" si="5"/>
        <v>1</v>
      </c>
    </row>
    <row r="112" spans="1:17" ht="29" thickBot="1">
      <c r="A112" s="2" t="s">
        <v>53</v>
      </c>
      <c r="B112" s="3" t="s">
        <v>19</v>
      </c>
      <c r="C112" s="2" t="s">
        <v>16</v>
      </c>
      <c r="D112" s="2" t="s">
        <v>32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  <c r="O112">
        <f t="shared" si="3"/>
        <v>0</v>
      </c>
      <c r="P112">
        <f t="shared" si="4"/>
        <v>0</v>
      </c>
      <c r="Q112">
        <f t="shared" si="5"/>
        <v>1</v>
      </c>
    </row>
    <row r="113" spans="1:17" ht="29" thickBot="1">
      <c r="A113" s="2" t="s">
        <v>53</v>
      </c>
      <c r="B113" s="3" t="s">
        <v>20</v>
      </c>
      <c r="C113" s="2" t="s">
        <v>16</v>
      </c>
      <c r="D113" s="2" t="s">
        <v>32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  <c r="O113">
        <f t="shared" si="3"/>
        <v>0</v>
      </c>
      <c r="P113">
        <f t="shared" si="4"/>
        <v>0</v>
      </c>
      <c r="Q113">
        <f t="shared" si="5"/>
        <v>1</v>
      </c>
    </row>
    <row r="114" spans="1:17" ht="29" thickBot="1">
      <c r="A114" s="2" t="s">
        <v>54</v>
      </c>
      <c r="B114" s="3" t="s">
        <v>15</v>
      </c>
      <c r="C114" s="2" t="s">
        <v>31</v>
      </c>
      <c r="D114" s="2" t="s">
        <v>32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  <c r="O114">
        <f t="shared" si="3"/>
        <v>0</v>
      </c>
      <c r="P114">
        <f t="shared" si="4"/>
        <v>0</v>
      </c>
      <c r="Q114">
        <f t="shared" si="5"/>
        <v>1</v>
      </c>
    </row>
    <row r="115" spans="1:17" ht="29" thickBot="1">
      <c r="A115" s="2" t="s">
        <v>54</v>
      </c>
      <c r="B115" s="3" t="s">
        <v>18</v>
      </c>
      <c r="C115" s="2" t="s">
        <v>31</v>
      </c>
      <c r="D115" s="2" t="s">
        <v>32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  <c r="O115">
        <f t="shared" si="3"/>
        <v>0</v>
      </c>
      <c r="P115">
        <f t="shared" si="4"/>
        <v>0</v>
      </c>
      <c r="Q115">
        <f t="shared" si="5"/>
        <v>1</v>
      </c>
    </row>
    <row r="116" spans="1:17" ht="29" thickBot="1">
      <c r="A116" s="2" t="s">
        <v>54</v>
      </c>
      <c r="B116" s="3" t="s">
        <v>19</v>
      </c>
      <c r="C116" s="2" t="s">
        <v>31</v>
      </c>
      <c r="D116" s="2" t="s">
        <v>32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  <c r="O116">
        <f t="shared" si="3"/>
        <v>0</v>
      </c>
      <c r="P116">
        <f t="shared" si="4"/>
        <v>0</v>
      </c>
      <c r="Q116">
        <f t="shared" si="5"/>
        <v>1</v>
      </c>
    </row>
    <row r="117" spans="1:17" ht="29" thickBot="1">
      <c r="A117" s="2" t="s">
        <v>54</v>
      </c>
      <c r="B117" s="3" t="s">
        <v>20</v>
      </c>
      <c r="C117" s="2" t="s">
        <v>31</v>
      </c>
      <c r="D117" s="2" t="s">
        <v>32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  <c r="O117">
        <f t="shared" si="3"/>
        <v>0</v>
      </c>
      <c r="P117">
        <f t="shared" si="4"/>
        <v>0</v>
      </c>
      <c r="Q117">
        <f t="shared" si="5"/>
        <v>1</v>
      </c>
    </row>
    <row r="118" spans="1:17" ht="29" thickBot="1">
      <c r="A118" s="2" t="s">
        <v>55</v>
      </c>
      <c r="B118" s="3" t="s">
        <v>15</v>
      </c>
      <c r="C118" s="2" t="s">
        <v>31</v>
      </c>
      <c r="D118" s="2" t="s">
        <v>17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  <c r="O118">
        <f t="shared" si="3"/>
        <v>0</v>
      </c>
      <c r="P118">
        <f t="shared" si="4"/>
        <v>0</v>
      </c>
      <c r="Q118">
        <f t="shared" si="5"/>
        <v>0</v>
      </c>
    </row>
    <row r="119" spans="1:17" ht="29" thickBot="1">
      <c r="A119" s="2" t="s">
        <v>55</v>
      </c>
      <c r="B119" s="3" t="s">
        <v>18</v>
      </c>
      <c r="C119" s="2" t="s">
        <v>31</v>
      </c>
      <c r="D119" s="2" t="s">
        <v>17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  <c r="O119">
        <f t="shared" si="3"/>
        <v>0</v>
      </c>
      <c r="P119">
        <f t="shared" si="4"/>
        <v>0</v>
      </c>
      <c r="Q119">
        <f t="shared" si="5"/>
        <v>0</v>
      </c>
    </row>
    <row r="120" spans="1:17" ht="29" thickBot="1">
      <c r="A120" s="2" t="s">
        <v>55</v>
      </c>
      <c r="B120" s="3" t="s">
        <v>19</v>
      </c>
      <c r="C120" s="2" t="s">
        <v>31</v>
      </c>
      <c r="D120" s="2" t="s">
        <v>17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  <c r="O120">
        <f t="shared" si="3"/>
        <v>0</v>
      </c>
      <c r="P120">
        <f t="shared" si="4"/>
        <v>0</v>
      </c>
      <c r="Q120">
        <f t="shared" si="5"/>
        <v>0</v>
      </c>
    </row>
    <row r="121" spans="1:17" ht="29" thickBot="1">
      <c r="A121" s="2" t="s">
        <v>55</v>
      </c>
      <c r="B121" s="3" t="s">
        <v>20</v>
      </c>
      <c r="C121" s="2" t="s">
        <v>31</v>
      </c>
      <c r="D121" s="2" t="s">
        <v>17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  <c r="O121">
        <f t="shared" si="3"/>
        <v>0</v>
      </c>
      <c r="P121">
        <f t="shared" si="4"/>
        <v>0</v>
      </c>
      <c r="Q121">
        <f t="shared" si="5"/>
        <v>0</v>
      </c>
    </row>
    <row r="122" spans="1:17" ht="29" thickBot="1">
      <c r="A122" s="2" t="s">
        <v>56</v>
      </c>
      <c r="B122" s="3" t="s">
        <v>15</v>
      </c>
      <c r="C122" s="2" t="s">
        <v>24</v>
      </c>
      <c r="D122" s="2" t="s">
        <v>22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  <c r="O122">
        <f t="shared" si="3"/>
        <v>0</v>
      </c>
      <c r="P122">
        <f t="shared" si="4"/>
        <v>1</v>
      </c>
      <c r="Q122">
        <f t="shared" si="5"/>
        <v>0</v>
      </c>
    </row>
    <row r="123" spans="1:17" ht="29" thickBot="1">
      <c r="A123" s="2" t="s">
        <v>56</v>
      </c>
      <c r="B123" s="3" t="s">
        <v>18</v>
      </c>
      <c r="C123" s="2" t="s">
        <v>24</v>
      </c>
      <c r="D123" s="2" t="s">
        <v>22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  <c r="O123">
        <f t="shared" si="3"/>
        <v>0</v>
      </c>
      <c r="P123">
        <f t="shared" si="4"/>
        <v>1</v>
      </c>
      <c r="Q123">
        <f t="shared" si="5"/>
        <v>0</v>
      </c>
    </row>
    <row r="124" spans="1:17" ht="29" thickBot="1">
      <c r="A124" s="2" t="s">
        <v>56</v>
      </c>
      <c r="B124" s="3" t="s">
        <v>19</v>
      </c>
      <c r="C124" s="2" t="s">
        <v>24</v>
      </c>
      <c r="D124" s="2" t="s">
        <v>22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  <c r="O124">
        <f t="shared" si="3"/>
        <v>0</v>
      </c>
      <c r="P124">
        <f t="shared" si="4"/>
        <v>1</v>
      </c>
      <c r="Q124">
        <f t="shared" si="5"/>
        <v>0</v>
      </c>
    </row>
    <row r="125" spans="1:17" ht="29" thickBot="1">
      <c r="A125" s="2" t="s">
        <v>56</v>
      </c>
      <c r="B125" s="3" t="s">
        <v>20</v>
      </c>
      <c r="C125" s="2" t="s">
        <v>24</v>
      </c>
      <c r="D125" s="2" t="s">
        <v>22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  <c r="O125">
        <f t="shared" si="3"/>
        <v>0</v>
      </c>
      <c r="P125">
        <f t="shared" si="4"/>
        <v>1</v>
      </c>
      <c r="Q125">
        <f t="shared" si="5"/>
        <v>0</v>
      </c>
    </row>
    <row r="126" spans="1:17" ht="29" thickBot="1">
      <c r="A126" s="2" t="s">
        <v>57</v>
      </c>
      <c r="B126" s="3" t="s">
        <v>15</v>
      </c>
      <c r="C126" s="2" t="s">
        <v>28</v>
      </c>
      <c r="D126" s="2" t="s">
        <v>22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  <c r="O126">
        <f t="shared" si="3"/>
        <v>0</v>
      </c>
      <c r="P126">
        <f t="shared" si="4"/>
        <v>1</v>
      </c>
      <c r="Q126">
        <f t="shared" si="5"/>
        <v>0</v>
      </c>
    </row>
    <row r="127" spans="1:17" ht="29" thickBot="1">
      <c r="A127" s="2" t="s">
        <v>57</v>
      </c>
      <c r="B127" s="3" t="s">
        <v>18</v>
      </c>
      <c r="C127" s="2" t="s">
        <v>28</v>
      </c>
      <c r="D127" s="2" t="s">
        <v>22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  <c r="O127">
        <f t="shared" si="3"/>
        <v>0</v>
      </c>
      <c r="P127">
        <f t="shared" si="4"/>
        <v>1</v>
      </c>
      <c r="Q127">
        <f t="shared" si="5"/>
        <v>0</v>
      </c>
    </row>
    <row r="128" spans="1:17" ht="29" thickBot="1">
      <c r="A128" s="2" t="s">
        <v>57</v>
      </c>
      <c r="B128" s="3" t="s">
        <v>19</v>
      </c>
      <c r="C128" s="2" t="s">
        <v>28</v>
      </c>
      <c r="D128" s="2" t="s">
        <v>22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  <c r="O128">
        <f t="shared" si="3"/>
        <v>0</v>
      </c>
      <c r="P128">
        <f t="shared" si="4"/>
        <v>1</v>
      </c>
      <c r="Q128">
        <f t="shared" si="5"/>
        <v>0</v>
      </c>
    </row>
    <row r="129" spans="1:17" ht="29" thickBot="1">
      <c r="A129" s="2" t="s">
        <v>57</v>
      </c>
      <c r="B129" s="3" t="s">
        <v>20</v>
      </c>
      <c r="C129" s="2" t="s">
        <v>28</v>
      </c>
      <c r="D129" s="2" t="s">
        <v>22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  <c r="O129">
        <f t="shared" si="3"/>
        <v>0</v>
      </c>
      <c r="P129">
        <f t="shared" si="4"/>
        <v>1</v>
      </c>
      <c r="Q129">
        <f t="shared" si="5"/>
        <v>0</v>
      </c>
    </row>
    <row r="130" spans="1:17" ht="29" thickBot="1">
      <c r="A130" s="2" t="s">
        <v>58</v>
      </c>
      <c r="B130" s="3" t="s">
        <v>15</v>
      </c>
      <c r="C130" s="2" t="s">
        <v>16</v>
      </c>
      <c r="D130" s="2" t="s">
        <v>22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  <c r="O130">
        <f t="shared" si="3"/>
        <v>0</v>
      </c>
      <c r="P130">
        <f t="shared" si="4"/>
        <v>1</v>
      </c>
      <c r="Q130">
        <f t="shared" si="5"/>
        <v>0</v>
      </c>
    </row>
    <row r="131" spans="1:17" ht="29" thickBot="1">
      <c r="A131" s="2" t="s">
        <v>58</v>
      </c>
      <c r="B131" s="3" t="s">
        <v>18</v>
      </c>
      <c r="C131" s="2" t="s">
        <v>16</v>
      </c>
      <c r="D131" s="2" t="s">
        <v>22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  <c r="O131">
        <f t="shared" ref="O131:O194" si="6">IF(D131="Airport", 1, 0)</f>
        <v>0</v>
      </c>
      <c r="P131">
        <f t="shared" ref="P131:P194" si="7">IF(D131="High Street", 1, 0)</f>
        <v>1</v>
      </c>
      <c r="Q131">
        <f t="shared" ref="Q131:Q194" si="8">IF(D131="Mall", 1, 0)</f>
        <v>0</v>
      </c>
    </row>
    <row r="132" spans="1:17" ht="29" thickBot="1">
      <c r="A132" s="2" t="s">
        <v>58</v>
      </c>
      <c r="B132" s="3" t="s">
        <v>19</v>
      </c>
      <c r="C132" s="2" t="s">
        <v>16</v>
      </c>
      <c r="D132" s="2" t="s">
        <v>22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  <c r="O132">
        <f t="shared" si="6"/>
        <v>0</v>
      </c>
      <c r="P132">
        <f t="shared" si="7"/>
        <v>1</v>
      </c>
      <c r="Q132">
        <f t="shared" si="8"/>
        <v>0</v>
      </c>
    </row>
    <row r="133" spans="1:17" ht="29" thickBot="1">
      <c r="A133" s="2" t="s">
        <v>58</v>
      </c>
      <c r="B133" s="3" t="s">
        <v>20</v>
      </c>
      <c r="C133" s="2" t="s">
        <v>16</v>
      </c>
      <c r="D133" s="2" t="s">
        <v>22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  <c r="O133">
        <f t="shared" si="6"/>
        <v>0</v>
      </c>
      <c r="P133">
        <f t="shared" si="7"/>
        <v>1</v>
      </c>
      <c r="Q133">
        <f t="shared" si="8"/>
        <v>0</v>
      </c>
    </row>
    <row r="134" spans="1:17" ht="29" thickBot="1">
      <c r="A134" s="2" t="s">
        <v>59</v>
      </c>
      <c r="B134" s="3" t="s">
        <v>15</v>
      </c>
      <c r="C134" s="2" t="s">
        <v>24</v>
      </c>
      <c r="D134" s="2" t="s">
        <v>22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  <c r="O134">
        <f t="shared" si="6"/>
        <v>0</v>
      </c>
      <c r="P134">
        <f t="shared" si="7"/>
        <v>1</v>
      </c>
      <c r="Q134">
        <f t="shared" si="8"/>
        <v>0</v>
      </c>
    </row>
    <row r="135" spans="1:17" ht="29" thickBot="1">
      <c r="A135" s="2" t="s">
        <v>59</v>
      </c>
      <c r="B135" s="3" t="s">
        <v>18</v>
      </c>
      <c r="C135" s="2" t="s">
        <v>24</v>
      </c>
      <c r="D135" s="2" t="s">
        <v>22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2">
        <v>3.9</v>
      </c>
      <c r="M135" s="3">
        <v>400831.65</v>
      </c>
      <c r="N135" s="3">
        <v>70979.31</v>
      </c>
      <c r="O135">
        <f t="shared" si="6"/>
        <v>0</v>
      </c>
      <c r="P135">
        <f t="shared" si="7"/>
        <v>1</v>
      </c>
      <c r="Q135">
        <f t="shared" si="8"/>
        <v>0</v>
      </c>
    </row>
    <row r="136" spans="1:17" ht="29" thickBot="1">
      <c r="A136" s="2" t="s">
        <v>59</v>
      </c>
      <c r="B136" s="3" t="s">
        <v>19</v>
      </c>
      <c r="C136" s="2" t="s">
        <v>24</v>
      </c>
      <c r="D136" s="2" t="s">
        <v>22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  <c r="O136">
        <f t="shared" si="6"/>
        <v>0</v>
      </c>
      <c r="P136">
        <f t="shared" si="7"/>
        <v>1</v>
      </c>
      <c r="Q136">
        <f t="shared" si="8"/>
        <v>0</v>
      </c>
    </row>
    <row r="137" spans="1:17" ht="29" thickBot="1">
      <c r="A137" s="2" t="s">
        <v>59</v>
      </c>
      <c r="B137" s="3" t="s">
        <v>20</v>
      </c>
      <c r="C137" s="2" t="s">
        <v>24</v>
      </c>
      <c r="D137" s="2" t="s">
        <v>22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  <c r="O137">
        <f t="shared" si="6"/>
        <v>0</v>
      </c>
      <c r="P137">
        <f t="shared" si="7"/>
        <v>1</v>
      </c>
      <c r="Q137">
        <f t="shared" si="8"/>
        <v>0</v>
      </c>
    </row>
    <row r="138" spans="1:17" ht="29" thickBot="1">
      <c r="A138" s="2" t="s">
        <v>60</v>
      </c>
      <c r="B138" s="3" t="s">
        <v>15</v>
      </c>
      <c r="C138" s="2" t="s">
        <v>28</v>
      </c>
      <c r="D138" s="2" t="s">
        <v>17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2">
        <v>3.9</v>
      </c>
      <c r="M138" s="3">
        <v>633638.03</v>
      </c>
      <c r="N138" s="3">
        <v>99402.01</v>
      </c>
      <c r="O138">
        <f t="shared" si="6"/>
        <v>0</v>
      </c>
      <c r="P138">
        <f t="shared" si="7"/>
        <v>0</v>
      </c>
      <c r="Q138">
        <f t="shared" si="8"/>
        <v>0</v>
      </c>
    </row>
    <row r="139" spans="1:17" ht="29" thickBot="1">
      <c r="A139" s="2" t="s">
        <v>60</v>
      </c>
      <c r="B139" s="3" t="s">
        <v>18</v>
      </c>
      <c r="C139" s="2" t="s">
        <v>28</v>
      </c>
      <c r="D139" s="2" t="s">
        <v>17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  <c r="O139">
        <f t="shared" si="6"/>
        <v>0</v>
      </c>
      <c r="P139">
        <f t="shared" si="7"/>
        <v>0</v>
      </c>
      <c r="Q139">
        <f t="shared" si="8"/>
        <v>0</v>
      </c>
    </row>
    <row r="140" spans="1:17" ht="29" thickBot="1">
      <c r="A140" s="2" t="s">
        <v>60</v>
      </c>
      <c r="B140" s="3" t="s">
        <v>19</v>
      </c>
      <c r="C140" s="2" t="s">
        <v>28</v>
      </c>
      <c r="D140" s="2" t="s">
        <v>17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  <c r="O140">
        <f t="shared" si="6"/>
        <v>0</v>
      </c>
      <c r="P140">
        <f t="shared" si="7"/>
        <v>0</v>
      </c>
      <c r="Q140">
        <f t="shared" si="8"/>
        <v>0</v>
      </c>
    </row>
    <row r="141" spans="1:17" ht="29" thickBot="1">
      <c r="A141" s="2" t="s">
        <v>60</v>
      </c>
      <c r="B141" s="3" t="s">
        <v>20</v>
      </c>
      <c r="C141" s="2" t="s">
        <v>28</v>
      </c>
      <c r="D141" s="2" t="s">
        <v>17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  <c r="O141">
        <f t="shared" si="6"/>
        <v>0</v>
      </c>
      <c r="P141">
        <f t="shared" si="7"/>
        <v>0</v>
      </c>
      <c r="Q141">
        <f t="shared" si="8"/>
        <v>0</v>
      </c>
    </row>
    <row r="142" spans="1:17" ht="29" thickBot="1">
      <c r="A142" s="2" t="s">
        <v>61</v>
      </c>
      <c r="B142" s="3" t="s">
        <v>15</v>
      </c>
      <c r="C142" s="2" t="s">
        <v>31</v>
      </c>
      <c r="D142" s="2" t="s">
        <v>22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  <c r="O142">
        <f t="shared" si="6"/>
        <v>0</v>
      </c>
      <c r="P142">
        <f t="shared" si="7"/>
        <v>1</v>
      </c>
      <c r="Q142">
        <f t="shared" si="8"/>
        <v>0</v>
      </c>
    </row>
    <row r="143" spans="1:17" ht="29" thickBot="1">
      <c r="A143" s="2" t="s">
        <v>61</v>
      </c>
      <c r="B143" s="3" t="s">
        <v>18</v>
      </c>
      <c r="C143" s="2" t="s">
        <v>31</v>
      </c>
      <c r="D143" s="2" t="s">
        <v>22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  <c r="O143">
        <f t="shared" si="6"/>
        <v>0</v>
      </c>
      <c r="P143">
        <f t="shared" si="7"/>
        <v>1</v>
      </c>
      <c r="Q143">
        <f t="shared" si="8"/>
        <v>0</v>
      </c>
    </row>
    <row r="144" spans="1:17" ht="29" thickBot="1">
      <c r="A144" s="2" t="s">
        <v>61</v>
      </c>
      <c r="B144" s="3" t="s">
        <v>19</v>
      </c>
      <c r="C144" s="2" t="s">
        <v>31</v>
      </c>
      <c r="D144" s="2" t="s">
        <v>22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  <c r="O144">
        <f t="shared" si="6"/>
        <v>0</v>
      </c>
      <c r="P144">
        <f t="shared" si="7"/>
        <v>1</v>
      </c>
      <c r="Q144">
        <f t="shared" si="8"/>
        <v>0</v>
      </c>
    </row>
    <row r="145" spans="1:17" ht="29" thickBot="1">
      <c r="A145" s="2" t="s">
        <v>61</v>
      </c>
      <c r="B145" s="3" t="s">
        <v>20</v>
      </c>
      <c r="C145" s="2" t="s">
        <v>31</v>
      </c>
      <c r="D145" s="2" t="s">
        <v>22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  <c r="O145">
        <f t="shared" si="6"/>
        <v>0</v>
      </c>
      <c r="P145">
        <f t="shared" si="7"/>
        <v>1</v>
      </c>
      <c r="Q145">
        <f t="shared" si="8"/>
        <v>0</v>
      </c>
    </row>
    <row r="146" spans="1:17" ht="29" thickBot="1">
      <c r="A146" s="2" t="s">
        <v>62</v>
      </c>
      <c r="B146" s="3" t="s">
        <v>15</v>
      </c>
      <c r="C146" s="2" t="s">
        <v>24</v>
      </c>
      <c r="D146" s="2" t="s">
        <v>17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  <c r="O146">
        <f t="shared" si="6"/>
        <v>0</v>
      </c>
      <c r="P146">
        <f t="shared" si="7"/>
        <v>0</v>
      </c>
      <c r="Q146">
        <f t="shared" si="8"/>
        <v>0</v>
      </c>
    </row>
    <row r="147" spans="1:17" ht="29" thickBot="1">
      <c r="A147" s="2" t="s">
        <v>62</v>
      </c>
      <c r="B147" s="3" t="s">
        <v>18</v>
      </c>
      <c r="C147" s="2" t="s">
        <v>24</v>
      </c>
      <c r="D147" s="2" t="s">
        <v>17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  <c r="O147">
        <f t="shared" si="6"/>
        <v>0</v>
      </c>
      <c r="P147">
        <f t="shared" si="7"/>
        <v>0</v>
      </c>
      <c r="Q147">
        <f t="shared" si="8"/>
        <v>0</v>
      </c>
    </row>
    <row r="148" spans="1:17" ht="29" thickBot="1">
      <c r="A148" s="2" t="s">
        <v>62</v>
      </c>
      <c r="B148" s="3" t="s">
        <v>19</v>
      </c>
      <c r="C148" s="2" t="s">
        <v>24</v>
      </c>
      <c r="D148" s="2" t="s">
        <v>17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  <c r="O148">
        <f t="shared" si="6"/>
        <v>0</v>
      </c>
      <c r="P148">
        <f t="shared" si="7"/>
        <v>0</v>
      </c>
      <c r="Q148">
        <f t="shared" si="8"/>
        <v>0</v>
      </c>
    </row>
    <row r="149" spans="1:17" ht="29" thickBot="1">
      <c r="A149" s="2" t="s">
        <v>62</v>
      </c>
      <c r="B149" s="3" t="s">
        <v>20</v>
      </c>
      <c r="C149" s="2" t="s">
        <v>24</v>
      </c>
      <c r="D149" s="2" t="s">
        <v>17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  <c r="O149">
        <f t="shared" si="6"/>
        <v>0</v>
      </c>
      <c r="P149">
        <f t="shared" si="7"/>
        <v>0</v>
      </c>
      <c r="Q149">
        <f t="shared" si="8"/>
        <v>0</v>
      </c>
    </row>
    <row r="150" spans="1:17" ht="29" thickBot="1">
      <c r="A150" s="2" t="s">
        <v>63</v>
      </c>
      <c r="B150" s="3" t="s">
        <v>15</v>
      </c>
      <c r="C150" s="2" t="s">
        <v>28</v>
      </c>
      <c r="D150" s="2" t="s">
        <v>32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  <c r="O150">
        <f t="shared" si="6"/>
        <v>0</v>
      </c>
      <c r="P150">
        <f t="shared" si="7"/>
        <v>0</v>
      </c>
      <c r="Q150">
        <f t="shared" si="8"/>
        <v>1</v>
      </c>
    </row>
    <row r="151" spans="1:17" ht="29" thickBot="1">
      <c r="A151" s="2" t="s">
        <v>63</v>
      </c>
      <c r="B151" s="3" t="s">
        <v>18</v>
      </c>
      <c r="C151" s="2" t="s">
        <v>28</v>
      </c>
      <c r="D151" s="2" t="s">
        <v>32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  <c r="O151">
        <f t="shared" si="6"/>
        <v>0</v>
      </c>
      <c r="P151">
        <f t="shared" si="7"/>
        <v>0</v>
      </c>
      <c r="Q151">
        <f t="shared" si="8"/>
        <v>1</v>
      </c>
    </row>
    <row r="152" spans="1:17" ht="29" thickBot="1">
      <c r="A152" s="2" t="s">
        <v>63</v>
      </c>
      <c r="B152" s="3" t="s">
        <v>19</v>
      </c>
      <c r="C152" s="2" t="s">
        <v>28</v>
      </c>
      <c r="D152" s="2" t="s">
        <v>32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  <c r="O152">
        <f t="shared" si="6"/>
        <v>0</v>
      </c>
      <c r="P152">
        <f t="shared" si="7"/>
        <v>0</v>
      </c>
      <c r="Q152">
        <f t="shared" si="8"/>
        <v>1</v>
      </c>
    </row>
    <row r="153" spans="1:17" ht="29" thickBot="1">
      <c r="A153" s="2" t="s">
        <v>63</v>
      </c>
      <c r="B153" s="3" t="s">
        <v>20</v>
      </c>
      <c r="C153" s="2" t="s">
        <v>28</v>
      </c>
      <c r="D153" s="2" t="s">
        <v>32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  <c r="O153">
        <f t="shared" si="6"/>
        <v>0</v>
      </c>
      <c r="P153">
        <f t="shared" si="7"/>
        <v>0</v>
      </c>
      <c r="Q153">
        <f t="shared" si="8"/>
        <v>1</v>
      </c>
    </row>
    <row r="154" spans="1:17" ht="29" thickBot="1">
      <c r="A154" s="2" t="s">
        <v>64</v>
      </c>
      <c r="B154" s="3" t="s">
        <v>15</v>
      </c>
      <c r="C154" s="2" t="s">
        <v>16</v>
      </c>
      <c r="D154" s="2" t="s">
        <v>22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  <c r="O154">
        <f t="shared" si="6"/>
        <v>0</v>
      </c>
      <c r="P154">
        <f t="shared" si="7"/>
        <v>1</v>
      </c>
      <c r="Q154">
        <f t="shared" si="8"/>
        <v>0</v>
      </c>
    </row>
    <row r="155" spans="1:17" ht="29" thickBot="1">
      <c r="A155" s="2" t="s">
        <v>64</v>
      </c>
      <c r="B155" s="3" t="s">
        <v>18</v>
      </c>
      <c r="C155" s="2" t="s">
        <v>16</v>
      </c>
      <c r="D155" s="2" t="s">
        <v>22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  <c r="O155">
        <f t="shared" si="6"/>
        <v>0</v>
      </c>
      <c r="P155">
        <f t="shared" si="7"/>
        <v>1</v>
      </c>
      <c r="Q155">
        <f t="shared" si="8"/>
        <v>0</v>
      </c>
    </row>
    <row r="156" spans="1:17" ht="29" thickBot="1">
      <c r="A156" s="2" t="s">
        <v>64</v>
      </c>
      <c r="B156" s="3" t="s">
        <v>19</v>
      </c>
      <c r="C156" s="2" t="s">
        <v>16</v>
      </c>
      <c r="D156" s="2" t="s">
        <v>22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  <c r="O156">
        <f t="shared" si="6"/>
        <v>0</v>
      </c>
      <c r="P156">
        <f t="shared" si="7"/>
        <v>1</v>
      </c>
      <c r="Q156">
        <f t="shared" si="8"/>
        <v>0</v>
      </c>
    </row>
    <row r="157" spans="1:17" ht="29" thickBot="1">
      <c r="A157" s="2" t="s">
        <v>64</v>
      </c>
      <c r="B157" s="3" t="s">
        <v>20</v>
      </c>
      <c r="C157" s="2" t="s">
        <v>16</v>
      </c>
      <c r="D157" s="2" t="s">
        <v>22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  <c r="O157">
        <f t="shared" si="6"/>
        <v>0</v>
      </c>
      <c r="P157">
        <f t="shared" si="7"/>
        <v>1</v>
      </c>
      <c r="Q157">
        <f t="shared" si="8"/>
        <v>0</v>
      </c>
    </row>
    <row r="158" spans="1:17" ht="29" thickBot="1">
      <c r="A158" s="2" t="s">
        <v>65</v>
      </c>
      <c r="B158" s="3" t="s">
        <v>15</v>
      </c>
      <c r="C158" s="2" t="s">
        <v>24</v>
      </c>
      <c r="D158" s="2" t="s">
        <v>32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  <c r="O158">
        <f t="shared" si="6"/>
        <v>0</v>
      </c>
      <c r="P158">
        <f t="shared" si="7"/>
        <v>0</v>
      </c>
      <c r="Q158">
        <f t="shared" si="8"/>
        <v>1</v>
      </c>
    </row>
    <row r="159" spans="1:17" ht="29" thickBot="1">
      <c r="A159" s="2" t="s">
        <v>65</v>
      </c>
      <c r="B159" s="3" t="s">
        <v>18</v>
      </c>
      <c r="C159" s="2" t="s">
        <v>24</v>
      </c>
      <c r="D159" s="2" t="s">
        <v>32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  <c r="O159">
        <f t="shared" si="6"/>
        <v>0</v>
      </c>
      <c r="P159">
        <f t="shared" si="7"/>
        <v>0</v>
      </c>
      <c r="Q159">
        <f t="shared" si="8"/>
        <v>1</v>
      </c>
    </row>
    <row r="160" spans="1:17" ht="29" thickBot="1">
      <c r="A160" s="2" t="s">
        <v>65</v>
      </c>
      <c r="B160" s="3" t="s">
        <v>19</v>
      </c>
      <c r="C160" s="2" t="s">
        <v>24</v>
      </c>
      <c r="D160" s="2" t="s">
        <v>32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  <c r="O160">
        <f t="shared" si="6"/>
        <v>0</v>
      </c>
      <c r="P160">
        <f t="shared" si="7"/>
        <v>0</v>
      </c>
      <c r="Q160">
        <f t="shared" si="8"/>
        <v>1</v>
      </c>
    </row>
    <row r="161" spans="1:17" ht="29" thickBot="1">
      <c r="A161" s="2" t="s">
        <v>65</v>
      </c>
      <c r="B161" s="3" t="s">
        <v>20</v>
      </c>
      <c r="C161" s="2" t="s">
        <v>24</v>
      </c>
      <c r="D161" s="2" t="s">
        <v>32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  <c r="O161">
        <f t="shared" si="6"/>
        <v>0</v>
      </c>
      <c r="P161">
        <f t="shared" si="7"/>
        <v>0</v>
      </c>
      <c r="Q161">
        <f t="shared" si="8"/>
        <v>1</v>
      </c>
    </row>
    <row r="162" spans="1:17" ht="29" thickBot="1">
      <c r="A162" s="2" t="s">
        <v>66</v>
      </c>
      <c r="B162" s="3" t="s">
        <v>15</v>
      </c>
      <c r="C162" s="2" t="s">
        <v>28</v>
      </c>
      <c r="D162" s="2" t="s">
        <v>22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  <c r="O162">
        <f t="shared" si="6"/>
        <v>0</v>
      </c>
      <c r="P162">
        <f t="shared" si="7"/>
        <v>1</v>
      </c>
      <c r="Q162">
        <f t="shared" si="8"/>
        <v>0</v>
      </c>
    </row>
    <row r="163" spans="1:17" ht="29" thickBot="1">
      <c r="A163" s="2" t="s">
        <v>66</v>
      </c>
      <c r="B163" s="3" t="s">
        <v>18</v>
      </c>
      <c r="C163" s="2" t="s">
        <v>28</v>
      </c>
      <c r="D163" s="2" t="s">
        <v>22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  <c r="O163">
        <f t="shared" si="6"/>
        <v>0</v>
      </c>
      <c r="P163">
        <f t="shared" si="7"/>
        <v>1</v>
      </c>
      <c r="Q163">
        <f t="shared" si="8"/>
        <v>0</v>
      </c>
    </row>
    <row r="164" spans="1:17" ht="29" thickBot="1">
      <c r="A164" s="2" t="s">
        <v>66</v>
      </c>
      <c r="B164" s="3" t="s">
        <v>19</v>
      </c>
      <c r="C164" s="2" t="s">
        <v>28</v>
      </c>
      <c r="D164" s="2" t="s">
        <v>22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2">
        <v>4.55</v>
      </c>
      <c r="K164" s="3">
        <v>0</v>
      </c>
      <c r="L164" s="3">
        <v>4.2</v>
      </c>
      <c r="M164" s="3">
        <v>677096.71</v>
      </c>
      <c r="N164" s="3">
        <v>97174.11</v>
      </c>
      <c r="O164">
        <f t="shared" si="6"/>
        <v>0</v>
      </c>
      <c r="P164">
        <f t="shared" si="7"/>
        <v>1</v>
      </c>
      <c r="Q164">
        <f t="shared" si="8"/>
        <v>0</v>
      </c>
    </row>
    <row r="165" spans="1:17" ht="29" thickBot="1">
      <c r="A165" s="2" t="s">
        <v>66</v>
      </c>
      <c r="B165" s="3" t="s">
        <v>20</v>
      </c>
      <c r="C165" s="2" t="s">
        <v>28</v>
      </c>
      <c r="D165" s="2" t="s">
        <v>22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  <c r="O165">
        <f t="shared" si="6"/>
        <v>0</v>
      </c>
      <c r="P165">
        <f t="shared" si="7"/>
        <v>1</v>
      </c>
      <c r="Q165">
        <f t="shared" si="8"/>
        <v>0</v>
      </c>
    </row>
    <row r="166" spans="1:17" ht="29" thickBot="1">
      <c r="A166" s="2" t="s">
        <v>67</v>
      </c>
      <c r="B166" s="3" t="s">
        <v>15</v>
      </c>
      <c r="C166" s="2" t="s">
        <v>24</v>
      </c>
      <c r="D166" s="2" t="s">
        <v>32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  <c r="O166">
        <f t="shared" si="6"/>
        <v>0</v>
      </c>
      <c r="P166">
        <f t="shared" si="7"/>
        <v>0</v>
      </c>
      <c r="Q166">
        <f t="shared" si="8"/>
        <v>1</v>
      </c>
    </row>
    <row r="167" spans="1:17" ht="29" thickBot="1">
      <c r="A167" s="2" t="s">
        <v>67</v>
      </c>
      <c r="B167" s="3" t="s">
        <v>18</v>
      </c>
      <c r="C167" s="2" t="s">
        <v>24</v>
      </c>
      <c r="D167" s="2" t="s">
        <v>32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  <c r="O167">
        <f t="shared" si="6"/>
        <v>0</v>
      </c>
      <c r="P167">
        <f t="shared" si="7"/>
        <v>0</v>
      </c>
      <c r="Q167">
        <f t="shared" si="8"/>
        <v>1</v>
      </c>
    </row>
    <row r="168" spans="1:17" ht="29" thickBot="1">
      <c r="A168" s="2" t="s">
        <v>67</v>
      </c>
      <c r="B168" s="3" t="s">
        <v>19</v>
      </c>
      <c r="C168" s="2" t="s">
        <v>24</v>
      </c>
      <c r="D168" s="2" t="s">
        <v>32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  <c r="O168">
        <f t="shared" si="6"/>
        <v>0</v>
      </c>
      <c r="P168">
        <f t="shared" si="7"/>
        <v>0</v>
      </c>
      <c r="Q168">
        <f t="shared" si="8"/>
        <v>1</v>
      </c>
    </row>
    <row r="169" spans="1:17" ht="29" thickBot="1">
      <c r="A169" s="2" t="s">
        <v>67</v>
      </c>
      <c r="B169" s="3" t="s">
        <v>20</v>
      </c>
      <c r="C169" s="2" t="s">
        <v>24</v>
      </c>
      <c r="D169" s="2" t="s">
        <v>32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  <c r="O169">
        <f t="shared" si="6"/>
        <v>0</v>
      </c>
      <c r="P169">
        <f t="shared" si="7"/>
        <v>0</v>
      </c>
      <c r="Q169">
        <f t="shared" si="8"/>
        <v>1</v>
      </c>
    </row>
    <row r="170" spans="1:17" ht="29" thickBot="1">
      <c r="A170" s="2" t="s">
        <v>68</v>
      </c>
      <c r="B170" s="3" t="s">
        <v>15</v>
      </c>
      <c r="C170" s="2" t="s">
        <v>16</v>
      </c>
      <c r="D170" s="2" t="s">
        <v>17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  <c r="O170">
        <f t="shared" si="6"/>
        <v>0</v>
      </c>
      <c r="P170">
        <f t="shared" si="7"/>
        <v>0</v>
      </c>
      <c r="Q170">
        <f t="shared" si="8"/>
        <v>0</v>
      </c>
    </row>
    <row r="171" spans="1:17" ht="29" thickBot="1">
      <c r="A171" s="2" t="s">
        <v>68</v>
      </c>
      <c r="B171" s="3" t="s">
        <v>18</v>
      </c>
      <c r="C171" s="2" t="s">
        <v>16</v>
      </c>
      <c r="D171" s="2" t="s">
        <v>17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  <c r="O171">
        <f t="shared" si="6"/>
        <v>0</v>
      </c>
      <c r="P171">
        <f t="shared" si="7"/>
        <v>0</v>
      </c>
      <c r="Q171">
        <f t="shared" si="8"/>
        <v>0</v>
      </c>
    </row>
    <row r="172" spans="1:17" ht="29" thickBot="1">
      <c r="A172" s="2" t="s">
        <v>68</v>
      </c>
      <c r="B172" s="3" t="s">
        <v>19</v>
      </c>
      <c r="C172" s="2" t="s">
        <v>16</v>
      </c>
      <c r="D172" s="2" t="s">
        <v>17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  <c r="O172">
        <f t="shared" si="6"/>
        <v>0</v>
      </c>
      <c r="P172">
        <f t="shared" si="7"/>
        <v>0</v>
      </c>
      <c r="Q172">
        <f t="shared" si="8"/>
        <v>0</v>
      </c>
    </row>
    <row r="173" spans="1:17" ht="29" thickBot="1">
      <c r="A173" s="2" t="s">
        <v>68</v>
      </c>
      <c r="B173" s="3" t="s">
        <v>20</v>
      </c>
      <c r="C173" s="2" t="s">
        <v>16</v>
      </c>
      <c r="D173" s="2" t="s">
        <v>17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  <c r="O173">
        <f t="shared" si="6"/>
        <v>0</v>
      </c>
      <c r="P173">
        <f t="shared" si="7"/>
        <v>0</v>
      </c>
      <c r="Q173">
        <f t="shared" si="8"/>
        <v>0</v>
      </c>
    </row>
    <row r="174" spans="1:17" ht="29" thickBot="1">
      <c r="A174" s="2" t="s">
        <v>69</v>
      </c>
      <c r="B174" s="3" t="s">
        <v>15</v>
      </c>
      <c r="C174" s="2" t="s">
        <v>16</v>
      </c>
      <c r="D174" s="2" t="s">
        <v>17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  <c r="O174">
        <f t="shared" si="6"/>
        <v>0</v>
      </c>
      <c r="P174">
        <f t="shared" si="7"/>
        <v>0</v>
      </c>
      <c r="Q174">
        <f t="shared" si="8"/>
        <v>0</v>
      </c>
    </row>
    <row r="175" spans="1:17" ht="29" thickBot="1">
      <c r="A175" s="2" t="s">
        <v>69</v>
      </c>
      <c r="B175" s="3" t="s">
        <v>18</v>
      </c>
      <c r="C175" s="2" t="s">
        <v>16</v>
      </c>
      <c r="D175" s="2" t="s">
        <v>17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  <c r="O175">
        <f t="shared" si="6"/>
        <v>0</v>
      </c>
      <c r="P175">
        <f t="shared" si="7"/>
        <v>0</v>
      </c>
      <c r="Q175">
        <f t="shared" si="8"/>
        <v>0</v>
      </c>
    </row>
    <row r="176" spans="1:17" ht="29" thickBot="1">
      <c r="A176" s="2" t="s">
        <v>69</v>
      </c>
      <c r="B176" s="3" t="s">
        <v>19</v>
      </c>
      <c r="C176" s="2" t="s">
        <v>16</v>
      </c>
      <c r="D176" s="2" t="s">
        <v>17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  <c r="O176">
        <f t="shared" si="6"/>
        <v>0</v>
      </c>
      <c r="P176">
        <f t="shared" si="7"/>
        <v>0</v>
      </c>
      <c r="Q176">
        <f t="shared" si="8"/>
        <v>0</v>
      </c>
    </row>
    <row r="177" spans="1:17" ht="29" thickBot="1">
      <c r="A177" s="2" t="s">
        <v>69</v>
      </c>
      <c r="B177" s="3" t="s">
        <v>20</v>
      </c>
      <c r="C177" s="2" t="s">
        <v>16</v>
      </c>
      <c r="D177" s="2" t="s">
        <v>17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  <c r="O177">
        <f t="shared" si="6"/>
        <v>0</v>
      </c>
      <c r="P177">
        <f t="shared" si="7"/>
        <v>0</v>
      </c>
      <c r="Q177">
        <f t="shared" si="8"/>
        <v>0</v>
      </c>
    </row>
    <row r="178" spans="1:17" ht="29" thickBot="1">
      <c r="A178" s="2" t="s">
        <v>70</v>
      </c>
      <c r="B178" s="3" t="s">
        <v>15</v>
      </c>
      <c r="C178" s="2" t="s">
        <v>31</v>
      </c>
      <c r="D178" s="2" t="s">
        <v>25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  <c r="O178">
        <f t="shared" si="6"/>
        <v>1</v>
      </c>
      <c r="P178">
        <f t="shared" si="7"/>
        <v>0</v>
      </c>
      <c r="Q178">
        <f t="shared" si="8"/>
        <v>0</v>
      </c>
    </row>
    <row r="179" spans="1:17" ht="29" thickBot="1">
      <c r="A179" s="2" t="s">
        <v>70</v>
      </c>
      <c r="B179" s="3" t="s">
        <v>18</v>
      </c>
      <c r="C179" s="2" t="s">
        <v>31</v>
      </c>
      <c r="D179" s="2" t="s">
        <v>25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  <c r="O179">
        <f t="shared" si="6"/>
        <v>1</v>
      </c>
      <c r="P179">
        <f t="shared" si="7"/>
        <v>0</v>
      </c>
      <c r="Q179">
        <f t="shared" si="8"/>
        <v>0</v>
      </c>
    </row>
    <row r="180" spans="1:17" ht="29" thickBot="1">
      <c r="A180" s="2" t="s">
        <v>70</v>
      </c>
      <c r="B180" s="3" t="s">
        <v>19</v>
      </c>
      <c r="C180" s="2" t="s">
        <v>31</v>
      </c>
      <c r="D180" s="2" t="s">
        <v>25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  <c r="O180">
        <f t="shared" si="6"/>
        <v>1</v>
      </c>
      <c r="P180">
        <f t="shared" si="7"/>
        <v>0</v>
      </c>
      <c r="Q180">
        <f t="shared" si="8"/>
        <v>0</v>
      </c>
    </row>
    <row r="181" spans="1:17" ht="29" thickBot="1">
      <c r="A181" s="2" t="s">
        <v>70</v>
      </c>
      <c r="B181" s="3" t="s">
        <v>20</v>
      </c>
      <c r="C181" s="2" t="s">
        <v>31</v>
      </c>
      <c r="D181" s="2" t="s">
        <v>25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  <c r="O181">
        <f t="shared" si="6"/>
        <v>1</v>
      </c>
      <c r="P181">
        <f t="shared" si="7"/>
        <v>0</v>
      </c>
      <c r="Q181">
        <f t="shared" si="8"/>
        <v>0</v>
      </c>
    </row>
    <row r="182" spans="1:17" ht="29" thickBot="1">
      <c r="A182" s="2" t="s">
        <v>71</v>
      </c>
      <c r="B182" s="3" t="s">
        <v>15</v>
      </c>
      <c r="C182" s="2" t="s">
        <v>31</v>
      </c>
      <c r="D182" s="2" t="s">
        <v>17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  <c r="O182">
        <f t="shared" si="6"/>
        <v>0</v>
      </c>
      <c r="P182">
        <f t="shared" si="7"/>
        <v>0</v>
      </c>
      <c r="Q182">
        <f t="shared" si="8"/>
        <v>0</v>
      </c>
    </row>
    <row r="183" spans="1:17" ht="29" thickBot="1">
      <c r="A183" s="2" t="s">
        <v>71</v>
      </c>
      <c r="B183" s="3" t="s">
        <v>18</v>
      </c>
      <c r="C183" s="2" t="s">
        <v>31</v>
      </c>
      <c r="D183" s="2" t="s">
        <v>17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  <c r="O183">
        <f t="shared" si="6"/>
        <v>0</v>
      </c>
      <c r="P183">
        <f t="shared" si="7"/>
        <v>0</v>
      </c>
      <c r="Q183">
        <f t="shared" si="8"/>
        <v>0</v>
      </c>
    </row>
    <row r="184" spans="1:17" ht="29" thickBot="1">
      <c r="A184" s="2" t="s">
        <v>71</v>
      </c>
      <c r="B184" s="3" t="s">
        <v>19</v>
      </c>
      <c r="C184" s="2" t="s">
        <v>31</v>
      </c>
      <c r="D184" s="2" t="s">
        <v>17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  <c r="O184">
        <f t="shared" si="6"/>
        <v>0</v>
      </c>
      <c r="P184">
        <f t="shared" si="7"/>
        <v>0</v>
      </c>
      <c r="Q184">
        <f t="shared" si="8"/>
        <v>0</v>
      </c>
    </row>
    <row r="185" spans="1:17" ht="29" thickBot="1">
      <c r="A185" s="2" t="s">
        <v>71</v>
      </c>
      <c r="B185" s="3" t="s">
        <v>20</v>
      </c>
      <c r="C185" s="2" t="s">
        <v>31</v>
      </c>
      <c r="D185" s="2" t="s">
        <v>17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  <c r="O185">
        <f t="shared" si="6"/>
        <v>0</v>
      </c>
      <c r="P185">
        <f t="shared" si="7"/>
        <v>0</v>
      </c>
      <c r="Q185">
        <f t="shared" si="8"/>
        <v>0</v>
      </c>
    </row>
    <row r="186" spans="1:17" ht="29" thickBot="1">
      <c r="A186" s="2" t="s">
        <v>72</v>
      </c>
      <c r="B186" s="3" t="s">
        <v>15</v>
      </c>
      <c r="C186" s="2" t="s">
        <v>24</v>
      </c>
      <c r="D186" s="2" t="s">
        <v>22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  <c r="O186">
        <f t="shared" si="6"/>
        <v>0</v>
      </c>
      <c r="P186">
        <f t="shared" si="7"/>
        <v>1</v>
      </c>
      <c r="Q186">
        <f t="shared" si="8"/>
        <v>0</v>
      </c>
    </row>
    <row r="187" spans="1:17" ht="29" thickBot="1">
      <c r="A187" s="2" t="s">
        <v>72</v>
      </c>
      <c r="B187" s="3" t="s">
        <v>18</v>
      </c>
      <c r="C187" s="2" t="s">
        <v>24</v>
      </c>
      <c r="D187" s="2" t="s">
        <v>22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  <c r="O187">
        <f t="shared" si="6"/>
        <v>0</v>
      </c>
      <c r="P187">
        <f t="shared" si="7"/>
        <v>1</v>
      </c>
      <c r="Q187">
        <f t="shared" si="8"/>
        <v>0</v>
      </c>
    </row>
    <row r="188" spans="1:17" ht="29" thickBot="1">
      <c r="A188" s="2" t="s">
        <v>72</v>
      </c>
      <c r="B188" s="3" t="s">
        <v>19</v>
      </c>
      <c r="C188" s="2" t="s">
        <v>24</v>
      </c>
      <c r="D188" s="2" t="s">
        <v>22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  <c r="O188">
        <f t="shared" si="6"/>
        <v>0</v>
      </c>
      <c r="P188">
        <f t="shared" si="7"/>
        <v>1</v>
      </c>
      <c r="Q188">
        <f t="shared" si="8"/>
        <v>0</v>
      </c>
    </row>
    <row r="189" spans="1:17" ht="29" thickBot="1">
      <c r="A189" s="2" t="s">
        <v>72</v>
      </c>
      <c r="B189" s="3" t="s">
        <v>20</v>
      </c>
      <c r="C189" s="2" t="s">
        <v>24</v>
      </c>
      <c r="D189" s="2" t="s">
        <v>22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  <c r="O189">
        <f t="shared" si="6"/>
        <v>0</v>
      </c>
      <c r="P189">
        <f t="shared" si="7"/>
        <v>1</v>
      </c>
      <c r="Q189">
        <f t="shared" si="8"/>
        <v>0</v>
      </c>
    </row>
    <row r="190" spans="1:17" ht="29" thickBot="1">
      <c r="A190" s="2" t="s">
        <v>73</v>
      </c>
      <c r="B190" s="3" t="s">
        <v>15</v>
      </c>
      <c r="C190" s="2" t="s">
        <v>16</v>
      </c>
      <c r="D190" s="2" t="s">
        <v>22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  <c r="O190">
        <f t="shared" si="6"/>
        <v>0</v>
      </c>
      <c r="P190">
        <f t="shared" si="7"/>
        <v>1</v>
      </c>
      <c r="Q190">
        <f t="shared" si="8"/>
        <v>0</v>
      </c>
    </row>
    <row r="191" spans="1:17" ht="29" thickBot="1">
      <c r="A191" s="2" t="s">
        <v>73</v>
      </c>
      <c r="B191" s="3" t="s">
        <v>18</v>
      </c>
      <c r="C191" s="2" t="s">
        <v>16</v>
      </c>
      <c r="D191" s="2" t="s">
        <v>22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  <c r="O191">
        <f t="shared" si="6"/>
        <v>0</v>
      </c>
      <c r="P191">
        <f t="shared" si="7"/>
        <v>1</v>
      </c>
      <c r="Q191">
        <f t="shared" si="8"/>
        <v>0</v>
      </c>
    </row>
    <row r="192" spans="1:17" ht="29" thickBot="1">
      <c r="A192" s="2" t="s">
        <v>73</v>
      </c>
      <c r="B192" s="3" t="s">
        <v>19</v>
      </c>
      <c r="C192" s="2" t="s">
        <v>16</v>
      </c>
      <c r="D192" s="2" t="s">
        <v>22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  <c r="O192">
        <f t="shared" si="6"/>
        <v>0</v>
      </c>
      <c r="P192">
        <f t="shared" si="7"/>
        <v>1</v>
      </c>
      <c r="Q192">
        <f t="shared" si="8"/>
        <v>0</v>
      </c>
    </row>
    <row r="193" spans="1:17" ht="29" thickBot="1">
      <c r="A193" s="2" t="s">
        <v>73</v>
      </c>
      <c r="B193" s="3" t="s">
        <v>20</v>
      </c>
      <c r="C193" s="2" t="s">
        <v>16</v>
      </c>
      <c r="D193" s="2" t="s">
        <v>22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  <c r="O193">
        <f t="shared" si="6"/>
        <v>0</v>
      </c>
      <c r="P193">
        <f t="shared" si="7"/>
        <v>1</v>
      </c>
      <c r="Q193">
        <f t="shared" si="8"/>
        <v>0</v>
      </c>
    </row>
    <row r="194" spans="1:17" ht="29" thickBot="1">
      <c r="A194" s="2" t="s">
        <v>74</v>
      </c>
      <c r="B194" s="3" t="s">
        <v>15</v>
      </c>
      <c r="C194" s="2" t="s">
        <v>31</v>
      </c>
      <c r="D194" s="2" t="s">
        <v>17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  <c r="O194">
        <f t="shared" si="6"/>
        <v>0</v>
      </c>
      <c r="P194">
        <f t="shared" si="7"/>
        <v>0</v>
      </c>
      <c r="Q194">
        <f t="shared" si="8"/>
        <v>0</v>
      </c>
    </row>
    <row r="195" spans="1:17" ht="29" thickBot="1">
      <c r="A195" s="2" t="s">
        <v>74</v>
      </c>
      <c r="B195" s="3" t="s">
        <v>18</v>
      </c>
      <c r="C195" s="2" t="s">
        <v>31</v>
      </c>
      <c r="D195" s="2" t="s">
        <v>17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  <c r="O195">
        <f t="shared" ref="O195:O258" si="9">IF(D195="Airport", 1, 0)</f>
        <v>0</v>
      </c>
      <c r="P195">
        <f t="shared" ref="P195:P258" si="10">IF(D195="High Street", 1, 0)</f>
        <v>0</v>
      </c>
      <c r="Q195">
        <f t="shared" ref="Q195:Q258" si="11">IF(D195="Mall", 1, 0)</f>
        <v>0</v>
      </c>
    </row>
    <row r="196" spans="1:17" ht="29" thickBot="1">
      <c r="A196" s="2" t="s">
        <v>74</v>
      </c>
      <c r="B196" s="3" t="s">
        <v>19</v>
      </c>
      <c r="C196" s="2" t="s">
        <v>31</v>
      </c>
      <c r="D196" s="2" t="s">
        <v>17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  <c r="O196">
        <f t="shared" si="9"/>
        <v>0</v>
      </c>
      <c r="P196">
        <f t="shared" si="10"/>
        <v>0</v>
      </c>
      <c r="Q196">
        <f t="shared" si="11"/>
        <v>0</v>
      </c>
    </row>
    <row r="197" spans="1:17" ht="29" thickBot="1">
      <c r="A197" s="2" t="s">
        <v>74</v>
      </c>
      <c r="B197" s="3" t="s">
        <v>20</v>
      </c>
      <c r="C197" s="2" t="s">
        <v>31</v>
      </c>
      <c r="D197" s="2" t="s">
        <v>17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2"/>
      <c r="M197" s="3">
        <v>449465.06</v>
      </c>
      <c r="N197" s="3">
        <v>65694.78</v>
      </c>
      <c r="O197">
        <f t="shared" si="9"/>
        <v>0</v>
      </c>
      <c r="P197">
        <f t="shared" si="10"/>
        <v>0</v>
      </c>
      <c r="Q197">
        <f t="shared" si="11"/>
        <v>0</v>
      </c>
    </row>
    <row r="198" spans="1:17" ht="29" thickBot="1">
      <c r="A198" s="2" t="s">
        <v>75</v>
      </c>
      <c r="B198" s="3" t="s">
        <v>15</v>
      </c>
      <c r="C198" s="2" t="s">
        <v>24</v>
      </c>
      <c r="D198" s="2" t="s">
        <v>17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  <c r="O198">
        <f t="shared" si="9"/>
        <v>0</v>
      </c>
      <c r="P198">
        <f t="shared" si="10"/>
        <v>0</v>
      </c>
      <c r="Q198">
        <f t="shared" si="11"/>
        <v>0</v>
      </c>
    </row>
    <row r="199" spans="1:17" ht="29" thickBot="1">
      <c r="A199" s="2" t="s">
        <v>75</v>
      </c>
      <c r="B199" s="3" t="s">
        <v>18</v>
      </c>
      <c r="C199" s="2" t="s">
        <v>24</v>
      </c>
      <c r="D199" s="2" t="s">
        <v>17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  <c r="O199">
        <f t="shared" si="9"/>
        <v>0</v>
      </c>
      <c r="P199">
        <f t="shared" si="10"/>
        <v>0</v>
      </c>
      <c r="Q199">
        <f t="shared" si="11"/>
        <v>0</v>
      </c>
    </row>
    <row r="200" spans="1:17" ht="29" thickBot="1">
      <c r="A200" s="2" t="s">
        <v>75</v>
      </c>
      <c r="B200" s="3" t="s">
        <v>19</v>
      </c>
      <c r="C200" s="2" t="s">
        <v>24</v>
      </c>
      <c r="D200" s="2" t="s">
        <v>17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  <c r="O200">
        <f t="shared" si="9"/>
        <v>0</v>
      </c>
      <c r="P200">
        <f t="shared" si="10"/>
        <v>0</v>
      </c>
      <c r="Q200">
        <f t="shared" si="11"/>
        <v>0</v>
      </c>
    </row>
    <row r="201" spans="1:17" ht="29" thickBot="1">
      <c r="A201" s="2" t="s">
        <v>75</v>
      </c>
      <c r="B201" s="3" t="s">
        <v>20</v>
      </c>
      <c r="C201" s="2" t="s">
        <v>24</v>
      </c>
      <c r="D201" s="2" t="s">
        <v>17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  <c r="O201">
        <f t="shared" si="9"/>
        <v>0</v>
      </c>
      <c r="P201">
        <f t="shared" si="10"/>
        <v>0</v>
      </c>
      <c r="Q201">
        <f t="shared" si="11"/>
        <v>0</v>
      </c>
    </row>
    <row r="202" spans="1:17" ht="29" thickBot="1">
      <c r="A202" s="2" t="s">
        <v>76</v>
      </c>
      <c r="B202" s="3" t="s">
        <v>15</v>
      </c>
      <c r="C202" s="2" t="s">
        <v>16</v>
      </c>
      <c r="D202" s="2" t="s">
        <v>25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  <c r="O202">
        <f t="shared" si="9"/>
        <v>1</v>
      </c>
      <c r="P202">
        <f t="shared" si="10"/>
        <v>0</v>
      </c>
      <c r="Q202">
        <f t="shared" si="11"/>
        <v>0</v>
      </c>
    </row>
    <row r="203" spans="1:17" ht="29" thickBot="1">
      <c r="A203" s="2" t="s">
        <v>76</v>
      </c>
      <c r="B203" s="3" t="s">
        <v>18</v>
      </c>
      <c r="C203" s="2" t="s">
        <v>16</v>
      </c>
      <c r="D203" s="2" t="s">
        <v>25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  <c r="O203">
        <f t="shared" si="9"/>
        <v>1</v>
      </c>
      <c r="P203">
        <f t="shared" si="10"/>
        <v>0</v>
      </c>
      <c r="Q203">
        <f t="shared" si="11"/>
        <v>0</v>
      </c>
    </row>
    <row r="204" spans="1:17" ht="29" thickBot="1">
      <c r="A204" s="2" t="s">
        <v>76</v>
      </c>
      <c r="B204" s="3" t="s">
        <v>19</v>
      </c>
      <c r="C204" s="2" t="s">
        <v>16</v>
      </c>
      <c r="D204" s="2" t="s">
        <v>25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  <c r="O204">
        <f t="shared" si="9"/>
        <v>1</v>
      </c>
      <c r="P204">
        <f t="shared" si="10"/>
        <v>0</v>
      </c>
      <c r="Q204">
        <f t="shared" si="11"/>
        <v>0</v>
      </c>
    </row>
    <row r="205" spans="1:17" ht="29" thickBot="1">
      <c r="A205" s="2" t="s">
        <v>76</v>
      </c>
      <c r="B205" s="3" t="s">
        <v>20</v>
      </c>
      <c r="C205" s="2" t="s">
        <v>16</v>
      </c>
      <c r="D205" s="2" t="s">
        <v>25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  <c r="O205">
        <f t="shared" si="9"/>
        <v>1</v>
      </c>
      <c r="P205">
        <f t="shared" si="10"/>
        <v>0</v>
      </c>
      <c r="Q205">
        <f t="shared" si="11"/>
        <v>0</v>
      </c>
    </row>
    <row r="206" spans="1:17" ht="29" thickBot="1">
      <c r="A206" s="2" t="s">
        <v>77</v>
      </c>
      <c r="B206" s="3" t="s">
        <v>15</v>
      </c>
      <c r="C206" s="2" t="s">
        <v>16</v>
      </c>
      <c r="D206" s="2" t="s">
        <v>32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  <c r="O206">
        <f t="shared" si="9"/>
        <v>0</v>
      </c>
      <c r="P206">
        <f t="shared" si="10"/>
        <v>0</v>
      </c>
      <c r="Q206">
        <f t="shared" si="11"/>
        <v>1</v>
      </c>
    </row>
    <row r="207" spans="1:17" ht="29" thickBot="1">
      <c r="A207" s="2" t="s">
        <v>77</v>
      </c>
      <c r="B207" s="3" t="s">
        <v>18</v>
      </c>
      <c r="C207" s="2" t="s">
        <v>16</v>
      </c>
      <c r="D207" s="2" t="s">
        <v>32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  <c r="O207">
        <f t="shared" si="9"/>
        <v>0</v>
      </c>
      <c r="P207">
        <f t="shared" si="10"/>
        <v>0</v>
      </c>
      <c r="Q207">
        <f t="shared" si="11"/>
        <v>1</v>
      </c>
    </row>
    <row r="208" spans="1:17" ht="29" thickBot="1">
      <c r="A208" s="2" t="s">
        <v>77</v>
      </c>
      <c r="B208" s="3" t="s">
        <v>19</v>
      </c>
      <c r="C208" s="2" t="s">
        <v>16</v>
      </c>
      <c r="D208" s="2" t="s">
        <v>32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  <c r="O208">
        <f t="shared" si="9"/>
        <v>0</v>
      </c>
      <c r="P208">
        <f t="shared" si="10"/>
        <v>0</v>
      </c>
      <c r="Q208">
        <f t="shared" si="11"/>
        <v>1</v>
      </c>
    </row>
    <row r="209" spans="1:17" ht="29" thickBot="1">
      <c r="A209" s="2" t="s">
        <v>77</v>
      </c>
      <c r="B209" s="3" t="s">
        <v>20</v>
      </c>
      <c r="C209" s="2" t="s">
        <v>16</v>
      </c>
      <c r="D209" s="2" t="s">
        <v>32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  <c r="O209">
        <f t="shared" si="9"/>
        <v>0</v>
      </c>
      <c r="P209">
        <f t="shared" si="10"/>
        <v>0</v>
      </c>
      <c r="Q209">
        <f t="shared" si="11"/>
        <v>1</v>
      </c>
    </row>
    <row r="210" spans="1:17" ht="29" thickBot="1">
      <c r="A210" s="2" t="s">
        <v>78</v>
      </c>
      <c r="B210" s="3" t="s">
        <v>15</v>
      </c>
      <c r="C210" s="2" t="s">
        <v>16</v>
      </c>
      <c r="D210" s="2" t="s">
        <v>22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  <c r="O210">
        <f t="shared" si="9"/>
        <v>0</v>
      </c>
      <c r="P210">
        <f t="shared" si="10"/>
        <v>1</v>
      </c>
      <c r="Q210">
        <f t="shared" si="11"/>
        <v>0</v>
      </c>
    </row>
    <row r="211" spans="1:17" ht="29" thickBot="1">
      <c r="A211" s="2" t="s">
        <v>78</v>
      </c>
      <c r="B211" s="3" t="s">
        <v>18</v>
      </c>
      <c r="C211" s="2" t="s">
        <v>16</v>
      </c>
      <c r="D211" s="2" t="s">
        <v>22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  <c r="O211">
        <f t="shared" si="9"/>
        <v>0</v>
      </c>
      <c r="P211">
        <f t="shared" si="10"/>
        <v>1</v>
      </c>
      <c r="Q211">
        <f t="shared" si="11"/>
        <v>0</v>
      </c>
    </row>
    <row r="212" spans="1:17" ht="29" thickBot="1">
      <c r="A212" s="2" t="s">
        <v>78</v>
      </c>
      <c r="B212" s="3" t="s">
        <v>19</v>
      </c>
      <c r="C212" s="2" t="s">
        <v>16</v>
      </c>
      <c r="D212" s="2" t="s">
        <v>22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  <c r="O212">
        <f t="shared" si="9"/>
        <v>0</v>
      </c>
      <c r="P212">
        <f t="shared" si="10"/>
        <v>1</v>
      </c>
      <c r="Q212">
        <f t="shared" si="11"/>
        <v>0</v>
      </c>
    </row>
    <row r="213" spans="1:17" ht="29" thickBot="1">
      <c r="A213" s="2" t="s">
        <v>78</v>
      </c>
      <c r="B213" s="3" t="s">
        <v>20</v>
      </c>
      <c r="C213" s="2" t="s">
        <v>16</v>
      </c>
      <c r="D213" s="2" t="s">
        <v>22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  <c r="O213">
        <f t="shared" si="9"/>
        <v>0</v>
      </c>
      <c r="P213">
        <f t="shared" si="10"/>
        <v>1</v>
      </c>
      <c r="Q213">
        <f t="shared" si="11"/>
        <v>0</v>
      </c>
    </row>
    <row r="214" spans="1:17" ht="29" thickBot="1">
      <c r="A214" s="2" t="s">
        <v>79</v>
      </c>
      <c r="B214" s="3" t="s">
        <v>15</v>
      </c>
      <c r="C214" s="2" t="s">
        <v>31</v>
      </c>
      <c r="D214" s="2" t="s">
        <v>17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  <c r="O214">
        <f t="shared" si="9"/>
        <v>0</v>
      </c>
      <c r="P214">
        <f t="shared" si="10"/>
        <v>0</v>
      </c>
      <c r="Q214">
        <f t="shared" si="11"/>
        <v>0</v>
      </c>
    </row>
    <row r="215" spans="1:17" ht="29" thickBot="1">
      <c r="A215" s="2" t="s">
        <v>79</v>
      </c>
      <c r="B215" s="3" t="s">
        <v>18</v>
      </c>
      <c r="C215" s="2" t="s">
        <v>31</v>
      </c>
      <c r="D215" s="2" t="s">
        <v>17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  <c r="O215">
        <f t="shared" si="9"/>
        <v>0</v>
      </c>
      <c r="P215">
        <f t="shared" si="10"/>
        <v>0</v>
      </c>
      <c r="Q215">
        <f t="shared" si="11"/>
        <v>0</v>
      </c>
    </row>
    <row r="216" spans="1:17" ht="29" thickBot="1">
      <c r="A216" s="2" t="s">
        <v>79</v>
      </c>
      <c r="B216" s="3" t="s">
        <v>19</v>
      </c>
      <c r="C216" s="2" t="s">
        <v>31</v>
      </c>
      <c r="D216" s="2" t="s">
        <v>17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  <c r="O216">
        <f t="shared" si="9"/>
        <v>0</v>
      </c>
      <c r="P216">
        <f t="shared" si="10"/>
        <v>0</v>
      </c>
      <c r="Q216">
        <f t="shared" si="11"/>
        <v>0</v>
      </c>
    </row>
    <row r="217" spans="1:17" ht="29" thickBot="1">
      <c r="A217" s="2" t="s">
        <v>79</v>
      </c>
      <c r="B217" s="3" t="s">
        <v>20</v>
      </c>
      <c r="C217" s="2" t="s">
        <v>31</v>
      </c>
      <c r="D217" s="2" t="s">
        <v>17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  <c r="O217">
        <f t="shared" si="9"/>
        <v>0</v>
      </c>
      <c r="P217">
        <f t="shared" si="10"/>
        <v>0</v>
      </c>
      <c r="Q217">
        <f t="shared" si="11"/>
        <v>0</v>
      </c>
    </row>
    <row r="218" spans="1:17" ht="29" thickBot="1">
      <c r="A218" s="2" t="s">
        <v>80</v>
      </c>
      <c r="B218" s="3" t="s">
        <v>15</v>
      </c>
      <c r="C218" s="2" t="s">
        <v>24</v>
      </c>
      <c r="D218" s="2" t="s">
        <v>25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  <c r="O218">
        <f t="shared" si="9"/>
        <v>1</v>
      </c>
      <c r="P218">
        <f t="shared" si="10"/>
        <v>0</v>
      </c>
      <c r="Q218">
        <f t="shared" si="11"/>
        <v>0</v>
      </c>
    </row>
    <row r="219" spans="1:17" ht="29" thickBot="1">
      <c r="A219" s="2" t="s">
        <v>80</v>
      </c>
      <c r="B219" s="3" t="s">
        <v>18</v>
      </c>
      <c r="C219" s="2" t="s">
        <v>24</v>
      </c>
      <c r="D219" s="2" t="s">
        <v>25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  <c r="O219">
        <f t="shared" si="9"/>
        <v>1</v>
      </c>
      <c r="P219">
        <f t="shared" si="10"/>
        <v>0</v>
      </c>
      <c r="Q219">
        <f t="shared" si="11"/>
        <v>0</v>
      </c>
    </row>
    <row r="220" spans="1:17" ht="29" thickBot="1">
      <c r="A220" s="2" t="s">
        <v>80</v>
      </c>
      <c r="B220" s="3" t="s">
        <v>19</v>
      </c>
      <c r="C220" s="2" t="s">
        <v>24</v>
      </c>
      <c r="D220" s="2" t="s">
        <v>25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  <c r="O220">
        <f t="shared" si="9"/>
        <v>1</v>
      </c>
      <c r="P220">
        <f t="shared" si="10"/>
        <v>0</v>
      </c>
      <c r="Q220">
        <f t="shared" si="11"/>
        <v>0</v>
      </c>
    </row>
    <row r="221" spans="1:17" ht="29" thickBot="1">
      <c r="A221" s="2" t="s">
        <v>80</v>
      </c>
      <c r="B221" s="3" t="s">
        <v>20</v>
      </c>
      <c r="C221" s="2" t="s">
        <v>24</v>
      </c>
      <c r="D221" s="2" t="s">
        <v>25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  <c r="O221">
        <f t="shared" si="9"/>
        <v>1</v>
      </c>
      <c r="P221">
        <f t="shared" si="10"/>
        <v>0</v>
      </c>
      <c r="Q221">
        <f t="shared" si="11"/>
        <v>0</v>
      </c>
    </row>
    <row r="222" spans="1:17" ht="29" thickBot="1">
      <c r="A222" s="2" t="s">
        <v>81</v>
      </c>
      <c r="B222" s="3" t="s">
        <v>15</v>
      </c>
      <c r="C222" s="2" t="s">
        <v>16</v>
      </c>
      <c r="D222" s="2" t="s">
        <v>22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  <c r="O222">
        <f t="shared" si="9"/>
        <v>0</v>
      </c>
      <c r="P222">
        <f t="shared" si="10"/>
        <v>1</v>
      </c>
      <c r="Q222">
        <f t="shared" si="11"/>
        <v>0</v>
      </c>
    </row>
    <row r="223" spans="1:17" ht="29" thickBot="1">
      <c r="A223" s="2" t="s">
        <v>81</v>
      </c>
      <c r="B223" s="3" t="s">
        <v>18</v>
      </c>
      <c r="C223" s="2" t="s">
        <v>16</v>
      </c>
      <c r="D223" s="2" t="s">
        <v>22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  <c r="O223">
        <f t="shared" si="9"/>
        <v>0</v>
      </c>
      <c r="P223">
        <f t="shared" si="10"/>
        <v>1</v>
      </c>
      <c r="Q223">
        <f t="shared" si="11"/>
        <v>0</v>
      </c>
    </row>
    <row r="224" spans="1:17" ht="29" thickBot="1">
      <c r="A224" s="2" t="s">
        <v>81</v>
      </c>
      <c r="B224" s="3" t="s">
        <v>19</v>
      </c>
      <c r="C224" s="2" t="s">
        <v>16</v>
      </c>
      <c r="D224" s="2" t="s">
        <v>22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  <c r="O224">
        <f t="shared" si="9"/>
        <v>0</v>
      </c>
      <c r="P224">
        <f t="shared" si="10"/>
        <v>1</v>
      </c>
      <c r="Q224">
        <f t="shared" si="11"/>
        <v>0</v>
      </c>
    </row>
    <row r="225" spans="1:17" ht="29" thickBot="1">
      <c r="A225" s="2" t="s">
        <v>81</v>
      </c>
      <c r="B225" s="3" t="s">
        <v>20</v>
      </c>
      <c r="C225" s="2" t="s">
        <v>16</v>
      </c>
      <c r="D225" s="2" t="s">
        <v>22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  <c r="O225">
        <f t="shared" si="9"/>
        <v>0</v>
      </c>
      <c r="P225">
        <f t="shared" si="10"/>
        <v>1</v>
      </c>
      <c r="Q225">
        <f t="shared" si="11"/>
        <v>0</v>
      </c>
    </row>
    <row r="226" spans="1:17" ht="29" thickBot="1">
      <c r="A226" s="2" t="s">
        <v>82</v>
      </c>
      <c r="B226" s="3" t="s">
        <v>15</v>
      </c>
      <c r="C226" s="2" t="s">
        <v>16</v>
      </c>
      <c r="D226" s="2" t="s">
        <v>32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  <c r="O226">
        <f t="shared" si="9"/>
        <v>0</v>
      </c>
      <c r="P226">
        <f t="shared" si="10"/>
        <v>0</v>
      </c>
      <c r="Q226">
        <f t="shared" si="11"/>
        <v>1</v>
      </c>
    </row>
    <row r="227" spans="1:17" ht="29" thickBot="1">
      <c r="A227" s="2" t="s">
        <v>82</v>
      </c>
      <c r="B227" s="3" t="s">
        <v>18</v>
      </c>
      <c r="C227" s="2" t="s">
        <v>16</v>
      </c>
      <c r="D227" s="2" t="s">
        <v>32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  <c r="O227">
        <f t="shared" si="9"/>
        <v>0</v>
      </c>
      <c r="P227">
        <f t="shared" si="10"/>
        <v>0</v>
      </c>
      <c r="Q227">
        <f t="shared" si="11"/>
        <v>1</v>
      </c>
    </row>
    <row r="228" spans="1:17" ht="29" thickBot="1">
      <c r="A228" s="2" t="s">
        <v>82</v>
      </c>
      <c r="B228" s="3" t="s">
        <v>19</v>
      </c>
      <c r="C228" s="2" t="s">
        <v>16</v>
      </c>
      <c r="D228" s="2" t="s">
        <v>32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  <c r="O228">
        <f t="shared" si="9"/>
        <v>0</v>
      </c>
      <c r="P228">
        <f t="shared" si="10"/>
        <v>0</v>
      </c>
      <c r="Q228">
        <f t="shared" si="11"/>
        <v>1</v>
      </c>
    </row>
    <row r="229" spans="1:17" ht="29" thickBot="1">
      <c r="A229" s="2" t="s">
        <v>82</v>
      </c>
      <c r="B229" s="3" t="s">
        <v>20</v>
      </c>
      <c r="C229" s="2" t="s">
        <v>16</v>
      </c>
      <c r="D229" s="2" t="s">
        <v>32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2"/>
      <c r="M229" s="3">
        <v>529598.93999999994</v>
      </c>
      <c r="N229" s="3">
        <v>84334.33</v>
      </c>
      <c r="O229">
        <f t="shared" si="9"/>
        <v>0</v>
      </c>
      <c r="P229">
        <f t="shared" si="10"/>
        <v>0</v>
      </c>
      <c r="Q229">
        <f t="shared" si="11"/>
        <v>1</v>
      </c>
    </row>
    <row r="230" spans="1:17" ht="29" thickBot="1">
      <c r="A230" s="2" t="s">
        <v>83</v>
      </c>
      <c r="B230" s="3" t="s">
        <v>15</v>
      </c>
      <c r="C230" s="2" t="s">
        <v>16</v>
      </c>
      <c r="D230" s="2" t="s">
        <v>22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  <c r="O230">
        <f t="shared" si="9"/>
        <v>0</v>
      </c>
      <c r="P230">
        <f t="shared" si="10"/>
        <v>1</v>
      </c>
      <c r="Q230">
        <f t="shared" si="11"/>
        <v>0</v>
      </c>
    </row>
    <row r="231" spans="1:17" ht="29" thickBot="1">
      <c r="A231" s="2" t="s">
        <v>83</v>
      </c>
      <c r="B231" s="3" t="s">
        <v>18</v>
      </c>
      <c r="C231" s="2" t="s">
        <v>16</v>
      </c>
      <c r="D231" s="2" t="s">
        <v>22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  <c r="O231">
        <f t="shared" si="9"/>
        <v>0</v>
      </c>
      <c r="P231">
        <f t="shared" si="10"/>
        <v>1</v>
      </c>
      <c r="Q231">
        <f t="shared" si="11"/>
        <v>0</v>
      </c>
    </row>
    <row r="232" spans="1:17" ht="29" thickBot="1">
      <c r="A232" s="2" t="s">
        <v>83</v>
      </c>
      <c r="B232" s="3" t="s">
        <v>19</v>
      </c>
      <c r="C232" s="2" t="s">
        <v>16</v>
      </c>
      <c r="D232" s="2" t="s">
        <v>22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  <c r="O232">
        <f t="shared" si="9"/>
        <v>0</v>
      </c>
      <c r="P232">
        <f t="shared" si="10"/>
        <v>1</v>
      </c>
      <c r="Q232">
        <f t="shared" si="11"/>
        <v>0</v>
      </c>
    </row>
    <row r="233" spans="1:17" ht="29" thickBot="1">
      <c r="A233" s="2" t="s">
        <v>83</v>
      </c>
      <c r="B233" s="3" t="s">
        <v>20</v>
      </c>
      <c r="C233" s="2" t="s">
        <v>16</v>
      </c>
      <c r="D233" s="2" t="s">
        <v>22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2">
        <v>4.55</v>
      </c>
      <c r="K233" s="3">
        <v>0</v>
      </c>
      <c r="L233" s="3">
        <v>3.7</v>
      </c>
      <c r="M233" s="3">
        <v>647512.85</v>
      </c>
      <c r="N233" s="3">
        <v>153835.57</v>
      </c>
      <c r="O233">
        <f t="shared" si="9"/>
        <v>0</v>
      </c>
      <c r="P233">
        <f t="shared" si="10"/>
        <v>1</v>
      </c>
      <c r="Q233">
        <f t="shared" si="11"/>
        <v>0</v>
      </c>
    </row>
    <row r="234" spans="1:17" ht="29" thickBot="1">
      <c r="A234" s="2" t="s">
        <v>84</v>
      </c>
      <c r="B234" s="3" t="s">
        <v>15</v>
      </c>
      <c r="C234" s="2" t="s">
        <v>31</v>
      </c>
      <c r="D234" s="2" t="s">
        <v>17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  <c r="O234">
        <f t="shared" si="9"/>
        <v>0</v>
      </c>
      <c r="P234">
        <f t="shared" si="10"/>
        <v>0</v>
      </c>
      <c r="Q234">
        <f t="shared" si="11"/>
        <v>0</v>
      </c>
    </row>
    <row r="235" spans="1:17" ht="29" thickBot="1">
      <c r="A235" s="2" t="s">
        <v>84</v>
      </c>
      <c r="B235" s="3" t="s">
        <v>18</v>
      </c>
      <c r="C235" s="2" t="s">
        <v>31</v>
      </c>
      <c r="D235" s="2" t="s">
        <v>17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  <c r="O235">
        <f t="shared" si="9"/>
        <v>0</v>
      </c>
      <c r="P235">
        <f t="shared" si="10"/>
        <v>0</v>
      </c>
      <c r="Q235">
        <f t="shared" si="11"/>
        <v>0</v>
      </c>
    </row>
    <row r="236" spans="1:17" ht="29" thickBot="1">
      <c r="A236" s="2" t="s">
        <v>84</v>
      </c>
      <c r="B236" s="3" t="s">
        <v>19</v>
      </c>
      <c r="C236" s="2" t="s">
        <v>31</v>
      </c>
      <c r="D236" s="2" t="s">
        <v>17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  <c r="O236">
        <f t="shared" si="9"/>
        <v>0</v>
      </c>
      <c r="P236">
        <f t="shared" si="10"/>
        <v>0</v>
      </c>
      <c r="Q236">
        <f t="shared" si="11"/>
        <v>0</v>
      </c>
    </row>
    <row r="237" spans="1:17" ht="29" thickBot="1">
      <c r="A237" s="2" t="s">
        <v>84</v>
      </c>
      <c r="B237" s="3" t="s">
        <v>20</v>
      </c>
      <c r="C237" s="2" t="s">
        <v>31</v>
      </c>
      <c r="D237" s="2" t="s">
        <v>17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  <c r="O237">
        <f t="shared" si="9"/>
        <v>0</v>
      </c>
      <c r="P237">
        <f t="shared" si="10"/>
        <v>0</v>
      </c>
      <c r="Q237">
        <f t="shared" si="11"/>
        <v>0</v>
      </c>
    </row>
    <row r="238" spans="1:17" ht="29" thickBot="1">
      <c r="A238" s="2" t="s">
        <v>85</v>
      </c>
      <c r="B238" s="3" t="s">
        <v>15</v>
      </c>
      <c r="C238" s="2" t="s">
        <v>31</v>
      </c>
      <c r="D238" s="2" t="s">
        <v>32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  <c r="O238">
        <f t="shared" si="9"/>
        <v>0</v>
      </c>
      <c r="P238">
        <f t="shared" si="10"/>
        <v>0</v>
      </c>
      <c r="Q238">
        <f t="shared" si="11"/>
        <v>1</v>
      </c>
    </row>
    <row r="239" spans="1:17" ht="29" thickBot="1">
      <c r="A239" s="2" t="s">
        <v>85</v>
      </c>
      <c r="B239" s="3" t="s">
        <v>18</v>
      </c>
      <c r="C239" s="2" t="s">
        <v>31</v>
      </c>
      <c r="D239" s="2" t="s">
        <v>32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  <c r="O239">
        <f t="shared" si="9"/>
        <v>0</v>
      </c>
      <c r="P239">
        <f t="shared" si="10"/>
        <v>0</v>
      </c>
      <c r="Q239">
        <f t="shared" si="11"/>
        <v>1</v>
      </c>
    </row>
    <row r="240" spans="1:17" ht="29" thickBot="1">
      <c r="A240" s="2" t="s">
        <v>85</v>
      </c>
      <c r="B240" s="3" t="s">
        <v>19</v>
      </c>
      <c r="C240" s="2" t="s">
        <v>31</v>
      </c>
      <c r="D240" s="2" t="s">
        <v>32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  <c r="O240">
        <f t="shared" si="9"/>
        <v>0</v>
      </c>
      <c r="P240">
        <f t="shared" si="10"/>
        <v>0</v>
      </c>
      <c r="Q240">
        <f t="shared" si="11"/>
        <v>1</v>
      </c>
    </row>
    <row r="241" spans="1:17" ht="29" thickBot="1">
      <c r="A241" s="2" t="s">
        <v>85</v>
      </c>
      <c r="B241" s="3" t="s">
        <v>20</v>
      </c>
      <c r="C241" s="2" t="s">
        <v>31</v>
      </c>
      <c r="D241" s="2" t="s">
        <v>32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  <c r="O241">
        <f t="shared" si="9"/>
        <v>0</v>
      </c>
      <c r="P241">
        <f t="shared" si="10"/>
        <v>0</v>
      </c>
      <c r="Q241">
        <f t="shared" si="11"/>
        <v>1</v>
      </c>
    </row>
    <row r="242" spans="1:17" ht="29" thickBot="1">
      <c r="A242" s="2" t="s">
        <v>86</v>
      </c>
      <c r="B242" s="3" t="s">
        <v>15</v>
      </c>
      <c r="C242" s="2" t="s">
        <v>28</v>
      </c>
      <c r="D242" s="2" t="s">
        <v>25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  <c r="O242">
        <f t="shared" si="9"/>
        <v>1</v>
      </c>
      <c r="P242">
        <f t="shared" si="10"/>
        <v>0</v>
      </c>
      <c r="Q242">
        <f t="shared" si="11"/>
        <v>0</v>
      </c>
    </row>
    <row r="243" spans="1:17" ht="29" thickBot="1">
      <c r="A243" s="2" t="s">
        <v>86</v>
      </c>
      <c r="B243" s="3" t="s">
        <v>18</v>
      </c>
      <c r="C243" s="2" t="s">
        <v>28</v>
      </c>
      <c r="D243" s="2" t="s">
        <v>25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  <c r="O243">
        <f t="shared" si="9"/>
        <v>1</v>
      </c>
      <c r="P243">
        <f t="shared" si="10"/>
        <v>0</v>
      </c>
      <c r="Q243">
        <f t="shared" si="11"/>
        <v>0</v>
      </c>
    </row>
    <row r="244" spans="1:17" ht="29" thickBot="1">
      <c r="A244" s="2" t="s">
        <v>86</v>
      </c>
      <c r="B244" s="3" t="s">
        <v>19</v>
      </c>
      <c r="C244" s="2" t="s">
        <v>28</v>
      </c>
      <c r="D244" s="2" t="s">
        <v>25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  <c r="O244">
        <f t="shared" si="9"/>
        <v>1</v>
      </c>
      <c r="P244">
        <f t="shared" si="10"/>
        <v>0</v>
      </c>
      <c r="Q244">
        <f t="shared" si="11"/>
        <v>0</v>
      </c>
    </row>
    <row r="245" spans="1:17" ht="29" thickBot="1">
      <c r="A245" s="2" t="s">
        <v>86</v>
      </c>
      <c r="B245" s="3" t="s">
        <v>20</v>
      </c>
      <c r="C245" s="2" t="s">
        <v>28</v>
      </c>
      <c r="D245" s="2" t="s">
        <v>25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  <c r="O245">
        <f t="shared" si="9"/>
        <v>1</v>
      </c>
      <c r="P245">
        <f t="shared" si="10"/>
        <v>0</v>
      </c>
      <c r="Q245">
        <f t="shared" si="11"/>
        <v>0</v>
      </c>
    </row>
    <row r="246" spans="1:17" ht="29" thickBot="1">
      <c r="A246" s="2" t="s">
        <v>87</v>
      </c>
      <c r="B246" s="3" t="s">
        <v>15</v>
      </c>
      <c r="C246" s="2" t="s">
        <v>16</v>
      </c>
      <c r="D246" s="2" t="s">
        <v>22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  <c r="O246">
        <f t="shared" si="9"/>
        <v>0</v>
      </c>
      <c r="P246">
        <f t="shared" si="10"/>
        <v>1</v>
      </c>
      <c r="Q246">
        <f t="shared" si="11"/>
        <v>0</v>
      </c>
    </row>
    <row r="247" spans="1:17" ht="29" thickBot="1">
      <c r="A247" s="2" t="s">
        <v>87</v>
      </c>
      <c r="B247" s="3" t="s">
        <v>18</v>
      </c>
      <c r="C247" s="2" t="s">
        <v>16</v>
      </c>
      <c r="D247" s="2" t="s">
        <v>22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  <c r="O247">
        <f t="shared" si="9"/>
        <v>0</v>
      </c>
      <c r="P247">
        <f t="shared" si="10"/>
        <v>1</v>
      </c>
      <c r="Q247">
        <f t="shared" si="11"/>
        <v>0</v>
      </c>
    </row>
    <row r="248" spans="1:17" ht="29" thickBot="1">
      <c r="A248" s="2" t="s">
        <v>87</v>
      </c>
      <c r="B248" s="3" t="s">
        <v>19</v>
      </c>
      <c r="C248" s="2" t="s">
        <v>16</v>
      </c>
      <c r="D248" s="2" t="s">
        <v>22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  <c r="O248">
        <f t="shared" si="9"/>
        <v>0</v>
      </c>
      <c r="P248">
        <f t="shared" si="10"/>
        <v>1</v>
      </c>
      <c r="Q248">
        <f t="shared" si="11"/>
        <v>0</v>
      </c>
    </row>
    <row r="249" spans="1:17" ht="29" thickBot="1">
      <c r="A249" s="2" t="s">
        <v>87</v>
      </c>
      <c r="B249" s="3" t="s">
        <v>20</v>
      </c>
      <c r="C249" s="2" t="s">
        <v>16</v>
      </c>
      <c r="D249" s="2" t="s">
        <v>22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  <c r="O249">
        <f t="shared" si="9"/>
        <v>0</v>
      </c>
      <c r="P249">
        <f t="shared" si="10"/>
        <v>1</v>
      </c>
      <c r="Q249">
        <f t="shared" si="11"/>
        <v>0</v>
      </c>
    </row>
    <row r="250" spans="1:17" ht="29" thickBot="1">
      <c r="A250" s="2" t="s">
        <v>88</v>
      </c>
      <c r="B250" s="3" t="s">
        <v>15</v>
      </c>
      <c r="C250" s="2" t="s">
        <v>24</v>
      </c>
      <c r="D250" s="2" t="s">
        <v>22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2">
        <v>4.55</v>
      </c>
      <c r="K250" s="3">
        <v>0</v>
      </c>
      <c r="L250" s="3">
        <v>3.8</v>
      </c>
      <c r="M250" s="3">
        <v>606783.67000000004</v>
      </c>
      <c r="N250" s="3">
        <v>74515.87</v>
      </c>
      <c r="O250">
        <f t="shared" si="9"/>
        <v>0</v>
      </c>
      <c r="P250">
        <f t="shared" si="10"/>
        <v>1</v>
      </c>
      <c r="Q250">
        <f t="shared" si="11"/>
        <v>0</v>
      </c>
    </row>
    <row r="251" spans="1:17" ht="29" thickBot="1">
      <c r="A251" s="2" t="s">
        <v>88</v>
      </c>
      <c r="B251" s="3" t="s">
        <v>18</v>
      </c>
      <c r="C251" s="2" t="s">
        <v>24</v>
      </c>
      <c r="D251" s="2" t="s">
        <v>22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  <c r="O251">
        <f t="shared" si="9"/>
        <v>0</v>
      </c>
      <c r="P251">
        <f t="shared" si="10"/>
        <v>1</v>
      </c>
      <c r="Q251">
        <f t="shared" si="11"/>
        <v>0</v>
      </c>
    </row>
    <row r="252" spans="1:17" ht="29" thickBot="1">
      <c r="A252" s="2" t="s">
        <v>88</v>
      </c>
      <c r="B252" s="3" t="s">
        <v>19</v>
      </c>
      <c r="C252" s="2" t="s">
        <v>24</v>
      </c>
      <c r="D252" s="2" t="s">
        <v>22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  <c r="O252">
        <f t="shared" si="9"/>
        <v>0</v>
      </c>
      <c r="P252">
        <f t="shared" si="10"/>
        <v>1</v>
      </c>
      <c r="Q252">
        <f t="shared" si="11"/>
        <v>0</v>
      </c>
    </row>
    <row r="253" spans="1:17" ht="29" thickBot="1">
      <c r="A253" s="2" t="s">
        <v>88</v>
      </c>
      <c r="B253" s="3" t="s">
        <v>20</v>
      </c>
      <c r="C253" s="2" t="s">
        <v>24</v>
      </c>
      <c r="D253" s="2" t="s">
        <v>22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  <c r="O253">
        <f t="shared" si="9"/>
        <v>0</v>
      </c>
      <c r="P253">
        <f t="shared" si="10"/>
        <v>1</v>
      </c>
      <c r="Q253">
        <f t="shared" si="11"/>
        <v>0</v>
      </c>
    </row>
    <row r="254" spans="1:17" ht="29" thickBot="1">
      <c r="A254" s="2" t="s">
        <v>89</v>
      </c>
      <c r="B254" s="3" t="s">
        <v>15</v>
      </c>
      <c r="C254" s="2" t="s">
        <v>28</v>
      </c>
      <c r="D254" s="2" t="s">
        <v>25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  <c r="O254">
        <f t="shared" si="9"/>
        <v>1</v>
      </c>
      <c r="P254">
        <f t="shared" si="10"/>
        <v>0</v>
      </c>
      <c r="Q254">
        <f t="shared" si="11"/>
        <v>0</v>
      </c>
    </row>
    <row r="255" spans="1:17" ht="29" thickBot="1">
      <c r="A255" s="2" t="s">
        <v>89</v>
      </c>
      <c r="B255" s="3" t="s">
        <v>18</v>
      </c>
      <c r="C255" s="2" t="s">
        <v>28</v>
      </c>
      <c r="D255" s="2" t="s">
        <v>25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  <c r="O255">
        <f t="shared" si="9"/>
        <v>1</v>
      </c>
      <c r="P255">
        <f t="shared" si="10"/>
        <v>0</v>
      </c>
      <c r="Q255">
        <f t="shared" si="11"/>
        <v>0</v>
      </c>
    </row>
    <row r="256" spans="1:17" ht="29" thickBot="1">
      <c r="A256" s="2" t="s">
        <v>89</v>
      </c>
      <c r="B256" s="3" t="s">
        <v>19</v>
      </c>
      <c r="C256" s="2" t="s">
        <v>28</v>
      </c>
      <c r="D256" s="2" t="s">
        <v>25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  <c r="O256">
        <f t="shared" si="9"/>
        <v>1</v>
      </c>
      <c r="P256">
        <f t="shared" si="10"/>
        <v>0</v>
      </c>
      <c r="Q256">
        <f t="shared" si="11"/>
        <v>0</v>
      </c>
    </row>
    <row r="257" spans="1:17" ht="29" thickBot="1">
      <c r="A257" s="2" t="s">
        <v>89</v>
      </c>
      <c r="B257" s="3" t="s">
        <v>20</v>
      </c>
      <c r="C257" s="2" t="s">
        <v>28</v>
      </c>
      <c r="D257" s="2" t="s">
        <v>25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  <c r="O257">
        <f t="shared" si="9"/>
        <v>1</v>
      </c>
      <c r="P257">
        <f t="shared" si="10"/>
        <v>0</v>
      </c>
      <c r="Q257">
        <f t="shared" si="11"/>
        <v>0</v>
      </c>
    </row>
    <row r="258" spans="1:17" ht="29" thickBot="1">
      <c r="A258" s="2" t="s">
        <v>90</v>
      </c>
      <c r="B258" s="3" t="s">
        <v>15</v>
      </c>
      <c r="C258" s="2" t="s">
        <v>28</v>
      </c>
      <c r="D258" s="2" t="s">
        <v>32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  <c r="O258">
        <f t="shared" si="9"/>
        <v>0</v>
      </c>
      <c r="P258">
        <f t="shared" si="10"/>
        <v>0</v>
      </c>
      <c r="Q258">
        <f t="shared" si="11"/>
        <v>1</v>
      </c>
    </row>
    <row r="259" spans="1:17" ht="29" thickBot="1">
      <c r="A259" s="2" t="s">
        <v>90</v>
      </c>
      <c r="B259" s="3" t="s">
        <v>18</v>
      </c>
      <c r="C259" s="2" t="s">
        <v>28</v>
      </c>
      <c r="D259" s="2" t="s">
        <v>32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  <c r="O259">
        <f t="shared" ref="O259:O321" si="12">IF(D259="Airport", 1, 0)</f>
        <v>0</v>
      </c>
      <c r="P259">
        <f t="shared" ref="P259:P321" si="13">IF(D259="High Street", 1, 0)</f>
        <v>0</v>
      </c>
      <c r="Q259">
        <f t="shared" ref="Q259:Q321" si="14">IF(D259="Mall", 1, 0)</f>
        <v>1</v>
      </c>
    </row>
    <row r="260" spans="1:17" ht="29" thickBot="1">
      <c r="A260" s="2" t="s">
        <v>90</v>
      </c>
      <c r="B260" s="3" t="s">
        <v>19</v>
      </c>
      <c r="C260" s="2" t="s">
        <v>28</v>
      </c>
      <c r="D260" s="2" t="s">
        <v>32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  <c r="O260">
        <f t="shared" si="12"/>
        <v>0</v>
      </c>
      <c r="P260">
        <f t="shared" si="13"/>
        <v>0</v>
      </c>
      <c r="Q260">
        <f t="shared" si="14"/>
        <v>1</v>
      </c>
    </row>
    <row r="261" spans="1:17" ht="29" thickBot="1">
      <c r="A261" s="2" t="s">
        <v>90</v>
      </c>
      <c r="B261" s="3" t="s">
        <v>20</v>
      </c>
      <c r="C261" s="2" t="s">
        <v>28</v>
      </c>
      <c r="D261" s="2" t="s">
        <v>32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  <c r="O261">
        <f t="shared" si="12"/>
        <v>0</v>
      </c>
      <c r="P261">
        <f t="shared" si="13"/>
        <v>0</v>
      </c>
      <c r="Q261">
        <f t="shared" si="14"/>
        <v>1</v>
      </c>
    </row>
    <row r="262" spans="1:17" ht="29" thickBot="1">
      <c r="A262" s="2" t="s">
        <v>91</v>
      </c>
      <c r="B262" s="3" t="s">
        <v>15</v>
      </c>
      <c r="C262" s="2" t="s">
        <v>31</v>
      </c>
      <c r="D262" s="2" t="s">
        <v>22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  <c r="O262">
        <f t="shared" si="12"/>
        <v>0</v>
      </c>
      <c r="P262">
        <f t="shared" si="13"/>
        <v>1</v>
      </c>
      <c r="Q262">
        <f t="shared" si="14"/>
        <v>0</v>
      </c>
    </row>
    <row r="263" spans="1:17" ht="29" thickBot="1">
      <c r="A263" s="2" t="s">
        <v>91</v>
      </c>
      <c r="B263" s="3" t="s">
        <v>18</v>
      </c>
      <c r="C263" s="2" t="s">
        <v>31</v>
      </c>
      <c r="D263" s="2" t="s">
        <v>22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2">
        <v>4.55</v>
      </c>
      <c r="K263" s="3">
        <v>0</v>
      </c>
      <c r="L263" s="3">
        <v>4.2</v>
      </c>
      <c r="M263" s="3">
        <v>605751.32999999996</v>
      </c>
      <c r="N263" s="3">
        <v>60685.53</v>
      </c>
      <c r="O263">
        <f t="shared" si="12"/>
        <v>0</v>
      </c>
      <c r="P263">
        <f t="shared" si="13"/>
        <v>1</v>
      </c>
      <c r="Q263">
        <f t="shared" si="14"/>
        <v>0</v>
      </c>
    </row>
    <row r="264" spans="1:17" ht="29" thickBot="1">
      <c r="A264" s="2" t="s">
        <v>91</v>
      </c>
      <c r="B264" s="3" t="s">
        <v>19</v>
      </c>
      <c r="C264" s="2" t="s">
        <v>31</v>
      </c>
      <c r="D264" s="2" t="s">
        <v>22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  <c r="O264">
        <f t="shared" si="12"/>
        <v>0</v>
      </c>
      <c r="P264">
        <f t="shared" si="13"/>
        <v>1</v>
      </c>
      <c r="Q264">
        <f t="shared" si="14"/>
        <v>0</v>
      </c>
    </row>
    <row r="265" spans="1:17" ht="29" thickBot="1">
      <c r="A265" s="2" t="s">
        <v>91</v>
      </c>
      <c r="B265" s="3" t="s">
        <v>20</v>
      </c>
      <c r="C265" s="2" t="s">
        <v>31</v>
      </c>
      <c r="D265" s="2" t="s">
        <v>22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  <c r="O265">
        <f t="shared" si="12"/>
        <v>0</v>
      </c>
      <c r="P265">
        <f t="shared" si="13"/>
        <v>1</v>
      </c>
      <c r="Q265">
        <f t="shared" si="14"/>
        <v>0</v>
      </c>
    </row>
    <row r="266" spans="1:17" ht="29" thickBot="1">
      <c r="A266" s="2" t="s">
        <v>92</v>
      </c>
      <c r="B266" s="3" t="s">
        <v>15</v>
      </c>
      <c r="C266" s="2" t="s">
        <v>16</v>
      </c>
      <c r="D266" s="2" t="s">
        <v>22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  <c r="O266">
        <f t="shared" si="12"/>
        <v>0</v>
      </c>
      <c r="P266">
        <f t="shared" si="13"/>
        <v>1</v>
      </c>
      <c r="Q266">
        <f t="shared" si="14"/>
        <v>0</v>
      </c>
    </row>
    <row r="267" spans="1:17" ht="29" thickBot="1">
      <c r="A267" s="2" t="s">
        <v>92</v>
      </c>
      <c r="B267" s="3" t="s">
        <v>18</v>
      </c>
      <c r="C267" s="2" t="s">
        <v>16</v>
      </c>
      <c r="D267" s="2" t="s">
        <v>22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  <c r="O267">
        <f t="shared" si="12"/>
        <v>0</v>
      </c>
      <c r="P267">
        <f t="shared" si="13"/>
        <v>1</v>
      </c>
      <c r="Q267">
        <f t="shared" si="14"/>
        <v>0</v>
      </c>
    </row>
    <row r="268" spans="1:17" ht="29" thickBot="1">
      <c r="A268" s="2" t="s">
        <v>92</v>
      </c>
      <c r="B268" s="3" t="s">
        <v>19</v>
      </c>
      <c r="C268" s="2" t="s">
        <v>16</v>
      </c>
      <c r="D268" s="2" t="s">
        <v>22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  <c r="O268">
        <f t="shared" si="12"/>
        <v>0</v>
      </c>
      <c r="P268">
        <f t="shared" si="13"/>
        <v>1</v>
      </c>
      <c r="Q268">
        <f t="shared" si="14"/>
        <v>0</v>
      </c>
    </row>
    <row r="269" spans="1:17" ht="29" thickBot="1">
      <c r="A269" s="2" t="s">
        <v>92</v>
      </c>
      <c r="B269" s="3" t="s">
        <v>20</v>
      </c>
      <c r="C269" s="2" t="s">
        <v>16</v>
      </c>
      <c r="D269" s="2" t="s">
        <v>22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  <c r="O269">
        <f t="shared" si="12"/>
        <v>0</v>
      </c>
      <c r="P269">
        <f t="shared" si="13"/>
        <v>1</v>
      </c>
      <c r="Q269">
        <f t="shared" si="14"/>
        <v>0</v>
      </c>
    </row>
    <row r="270" spans="1:17" ht="29" thickBot="1">
      <c r="A270" s="2" t="s">
        <v>93</v>
      </c>
      <c r="B270" s="3" t="s">
        <v>15</v>
      </c>
      <c r="C270" s="2" t="s">
        <v>16</v>
      </c>
      <c r="D270" s="2" t="s">
        <v>32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  <c r="O270">
        <f t="shared" si="12"/>
        <v>0</v>
      </c>
      <c r="P270">
        <f t="shared" si="13"/>
        <v>0</v>
      </c>
      <c r="Q270">
        <f t="shared" si="14"/>
        <v>1</v>
      </c>
    </row>
    <row r="271" spans="1:17" ht="29" thickBot="1">
      <c r="A271" s="2" t="s">
        <v>93</v>
      </c>
      <c r="B271" s="3" t="s">
        <v>18</v>
      </c>
      <c r="C271" s="2" t="s">
        <v>16</v>
      </c>
      <c r="D271" s="2" t="s">
        <v>32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  <c r="O271">
        <f t="shared" si="12"/>
        <v>0</v>
      </c>
      <c r="P271">
        <f t="shared" si="13"/>
        <v>0</v>
      </c>
      <c r="Q271">
        <f t="shared" si="14"/>
        <v>1</v>
      </c>
    </row>
    <row r="272" spans="1:17" ht="29" thickBot="1">
      <c r="A272" s="2" t="s">
        <v>93</v>
      </c>
      <c r="B272" s="3" t="s">
        <v>19</v>
      </c>
      <c r="C272" s="2" t="s">
        <v>16</v>
      </c>
      <c r="D272" s="2" t="s">
        <v>32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  <c r="O272">
        <f t="shared" si="12"/>
        <v>0</v>
      </c>
      <c r="P272">
        <f t="shared" si="13"/>
        <v>0</v>
      </c>
      <c r="Q272">
        <f t="shared" si="14"/>
        <v>1</v>
      </c>
    </row>
    <row r="273" spans="1:17" ht="29" thickBot="1">
      <c r="A273" s="2" t="s">
        <v>93</v>
      </c>
      <c r="B273" s="3" t="s">
        <v>20</v>
      </c>
      <c r="C273" s="2" t="s">
        <v>16</v>
      </c>
      <c r="D273" s="2" t="s">
        <v>32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  <c r="O273">
        <f t="shared" si="12"/>
        <v>0</v>
      </c>
      <c r="P273">
        <f t="shared" si="13"/>
        <v>0</v>
      </c>
      <c r="Q273">
        <f t="shared" si="14"/>
        <v>1</v>
      </c>
    </row>
    <row r="274" spans="1:17" ht="29" thickBot="1">
      <c r="A274" s="2" t="s">
        <v>94</v>
      </c>
      <c r="B274" s="3" t="s">
        <v>15</v>
      </c>
      <c r="C274" s="2" t="s">
        <v>31</v>
      </c>
      <c r="D274" s="2" t="s">
        <v>22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  <c r="O274">
        <f t="shared" si="12"/>
        <v>0</v>
      </c>
      <c r="P274">
        <f t="shared" si="13"/>
        <v>1</v>
      </c>
      <c r="Q274">
        <f t="shared" si="14"/>
        <v>0</v>
      </c>
    </row>
    <row r="275" spans="1:17" ht="29" thickBot="1">
      <c r="A275" s="2" t="s">
        <v>94</v>
      </c>
      <c r="B275" s="3" t="s">
        <v>18</v>
      </c>
      <c r="C275" s="2" t="s">
        <v>31</v>
      </c>
      <c r="D275" s="2" t="s">
        <v>22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  <c r="O275">
        <f t="shared" si="12"/>
        <v>0</v>
      </c>
      <c r="P275">
        <f t="shared" si="13"/>
        <v>1</v>
      </c>
      <c r="Q275">
        <f t="shared" si="14"/>
        <v>0</v>
      </c>
    </row>
    <row r="276" spans="1:17" ht="29" thickBot="1">
      <c r="A276" s="2" t="s">
        <v>94</v>
      </c>
      <c r="B276" s="3" t="s">
        <v>19</v>
      </c>
      <c r="C276" s="2" t="s">
        <v>31</v>
      </c>
      <c r="D276" s="2" t="s">
        <v>22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  <c r="O276">
        <f t="shared" si="12"/>
        <v>0</v>
      </c>
      <c r="P276">
        <f t="shared" si="13"/>
        <v>1</v>
      </c>
      <c r="Q276">
        <f t="shared" si="14"/>
        <v>0</v>
      </c>
    </row>
    <row r="277" spans="1:17" ht="29" thickBot="1">
      <c r="A277" s="2" t="s">
        <v>94</v>
      </c>
      <c r="B277" s="3" t="s">
        <v>20</v>
      </c>
      <c r="C277" s="2" t="s">
        <v>31</v>
      </c>
      <c r="D277" s="2" t="s">
        <v>22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  <c r="O277">
        <f t="shared" si="12"/>
        <v>0</v>
      </c>
      <c r="P277">
        <f t="shared" si="13"/>
        <v>1</v>
      </c>
      <c r="Q277">
        <f t="shared" si="14"/>
        <v>0</v>
      </c>
    </row>
    <row r="278" spans="1:17" ht="29" thickBot="1">
      <c r="A278" s="2" t="s">
        <v>95</v>
      </c>
      <c r="B278" s="3" t="s">
        <v>15</v>
      </c>
      <c r="C278" s="2" t="s">
        <v>28</v>
      </c>
      <c r="D278" s="2" t="s">
        <v>17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  <c r="O278">
        <f t="shared" si="12"/>
        <v>0</v>
      </c>
      <c r="P278">
        <f t="shared" si="13"/>
        <v>0</v>
      </c>
      <c r="Q278">
        <f t="shared" si="14"/>
        <v>0</v>
      </c>
    </row>
    <row r="279" spans="1:17" ht="29" thickBot="1">
      <c r="A279" s="2" t="s">
        <v>95</v>
      </c>
      <c r="B279" s="3" t="s">
        <v>18</v>
      </c>
      <c r="C279" s="2" t="s">
        <v>28</v>
      </c>
      <c r="D279" s="2" t="s">
        <v>17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  <c r="O279">
        <f t="shared" si="12"/>
        <v>0</v>
      </c>
      <c r="P279">
        <f t="shared" si="13"/>
        <v>0</v>
      </c>
      <c r="Q279">
        <f t="shared" si="14"/>
        <v>0</v>
      </c>
    </row>
    <row r="280" spans="1:17" ht="29" thickBot="1">
      <c r="A280" s="2" t="s">
        <v>95</v>
      </c>
      <c r="B280" s="3" t="s">
        <v>19</v>
      </c>
      <c r="C280" s="2" t="s">
        <v>28</v>
      </c>
      <c r="D280" s="2" t="s">
        <v>17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  <c r="O280">
        <f t="shared" si="12"/>
        <v>0</v>
      </c>
      <c r="P280">
        <f t="shared" si="13"/>
        <v>0</v>
      </c>
      <c r="Q280">
        <f t="shared" si="14"/>
        <v>0</v>
      </c>
    </row>
    <row r="281" spans="1:17" ht="29" thickBot="1">
      <c r="A281" s="2" t="s">
        <v>95</v>
      </c>
      <c r="B281" s="3" t="s">
        <v>20</v>
      </c>
      <c r="C281" s="2" t="s">
        <v>28</v>
      </c>
      <c r="D281" s="2" t="s">
        <v>17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  <c r="O281">
        <f t="shared" si="12"/>
        <v>0</v>
      </c>
      <c r="P281">
        <f t="shared" si="13"/>
        <v>0</v>
      </c>
      <c r="Q281">
        <f t="shared" si="14"/>
        <v>0</v>
      </c>
    </row>
    <row r="282" spans="1:17" ht="29" thickBot="1">
      <c r="A282" s="2" t="s">
        <v>96</v>
      </c>
      <c r="B282" s="3" t="s">
        <v>15</v>
      </c>
      <c r="C282" s="2" t="s">
        <v>28</v>
      </c>
      <c r="D282" s="2" t="s">
        <v>22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  <c r="O282">
        <f t="shared" si="12"/>
        <v>0</v>
      </c>
      <c r="P282">
        <f t="shared" si="13"/>
        <v>1</v>
      </c>
      <c r="Q282">
        <f t="shared" si="14"/>
        <v>0</v>
      </c>
    </row>
    <row r="283" spans="1:17" ht="29" thickBot="1">
      <c r="A283" s="2" t="s">
        <v>96</v>
      </c>
      <c r="B283" s="3" t="s">
        <v>18</v>
      </c>
      <c r="C283" s="2" t="s">
        <v>28</v>
      </c>
      <c r="D283" s="2" t="s">
        <v>22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  <c r="O283">
        <f t="shared" si="12"/>
        <v>0</v>
      </c>
      <c r="P283">
        <f t="shared" si="13"/>
        <v>1</v>
      </c>
      <c r="Q283">
        <f t="shared" si="14"/>
        <v>0</v>
      </c>
    </row>
    <row r="284" spans="1:17" ht="29" thickBot="1">
      <c r="A284" s="2" t="s">
        <v>96</v>
      </c>
      <c r="B284" s="3" t="s">
        <v>19</v>
      </c>
      <c r="C284" s="2" t="s">
        <v>28</v>
      </c>
      <c r="D284" s="2" t="s">
        <v>22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  <c r="O284">
        <f t="shared" si="12"/>
        <v>0</v>
      </c>
      <c r="P284">
        <f t="shared" si="13"/>
        <v>1</v>
      </c>
      <c r="Q284">
        <f t="shared" si="14"/>
        <v>0</v>
      </c>
    </row>
    <row r="285" spans="1:17" ht="29" thickBot="1">
      <c r="A285" s="2" t="s">
        <v>96</v>
      </c>
      <c r="B285" s="3" t="s">
        <v>20</v>
      </c>
      <c r="C285" s="2" t="s">
        <v>28</v>
      </c>
      <c r="D285" s="2" t="s">
        <v>22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  <c r="O285">
        <f t="shared" si="12"/>
        <v>0</v>
      </c>
      <c r="P285">
        <f t="shared" si="13"/>
        <v>1</v>
      </c>
      <c r="Q285">
        <f t="shared" si="14"/>
        <v>0</v>
      </c>
    </row>
    <row r="286" spans="1:17" ht="29" thickBot="1">
      <c r="A286" s="2" t="s">
        <v>97</v>
      </c>
      <c r="B286" s="3" t="s">
        <v>15</v>
      </c>
      <c r="C286" s="2" t="s">
        <v>31</v>
      </c>
      <c r="D286" s="2" t="s">
        <v>17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  <c r="O286">
        <f t="shared" si="12"/>
        <v>0</v>
      </c>
      <c r="P286">
        <f t="shared" si="13"/>
        <v>0</v>
      </c>
      <c r="Q286">
        <f t="shared" si="14"/>
        <v>0</v>
      </c>
    </row>
    <row r="287" spans="1:17" ht="29" thickBot="1">
      <c r="A287" s="2" t="s">
        <v>97</v>
      </c>
      <c r="B287" s="3" t="s">
        <v>18</v>
      </c>
      <c r="C287" s="2" t="s">
        <v>31</v>
      </c>
      <c r="D287" s="2" t="s">
        <v>17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  <c r="O287">
        <f t="shared" si="12"/>
        <v>0</v>
      </c>
      <c r="P287">
        <f t="shared" si="13"/>
        <v>0</v>
      </c>
      <c r="Q287">
        <f t="shared" si="14"/>
        <v>0</v>
      </c>
    </row>
    <row r="288" spans="1:17" ht="29" thickBot="1">
      <c r="A288" s="2" t="s">
        <v>97</v>
      </c>
      <c r="B288" s="3" t="s">
        <v>19</v>
      </c>
      <c r="C288" s="2" t="s">
        <v>31</v>
      </c>
      <c r="D288" s="2" t="s">
        <v>17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  <c r="O288">
        <f t="shared" si="12"/>
        <v>0</v>
      </c>
      <c r="P288">
        <f t="shared" si="13"/>
        <v>0</v>
      </c>
      <c r="Q288">
        <f t="shared" si="14"/>
        <v>0</v>
      </c>
    </row>
    <row r="289" spans="1:17" ht="29" thickBot="1">
      <c r="A289" s="2" t="s">
        <v>97</v>
      </c>
      <c r="B289" s="3" t="s">
        <v>20</v>
      </c>
      <c r="C289" s="2" t="s">
        <v>31</v>
      </c>
      <c r="D289" s="2" t="s">
        <v>17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  <c r="O289">
        <f t="shared" si="12"/>
        <v>0</v>
      </c>
      <c r="P289">
        <f t="shared" si="13"/>
        <v>0</v>
      </c>
      <c r="Q289">
        <f t="shared" si="14"/>
        <v>0</v>
      </c>
    </row>
    <row r="290" spans="1:17" ht="29" thickBot="1">
      <c r="A290" s="2" t="s">
        <v>98</v>
      </c>
      <c r="B290" s="3" t="s">
        <v>15</v>
      </c>
      <c r="C290" s="2" t="s">
        <v>16</v>
      </c>
      <c r="D290" s="2" t="s">
        <v>17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  <c r="O290">
        <f t="shared" si="12"/>
        <v>0</v>
      </c>
      <c r="P290">
        <f t="shared" si="13"/>
        <v>0</v>
      </c>
      <c r="Q290">
        <f t="shared" si="14"/>
        <v>0</v>
      </c>
    </row>
    <row r="291" spans="1:17" ht="29" thickBot="1">
      <c r="A291" s="2" t="s">
        <v>98</v>
      </c>
      <c r="B291" s="3" t="s">
        <v>18</v>
      </c>
      <c r="C291" s="2" t="s">
        <v>16</v>
      </c>
      <c r="D291" s="2" t="s">
        <v>17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  <c r="O291">
        <f t="shared" si="12"/>
        <v>0</v>
      </c>
      <c r="P291">
        <f t="shared" si="13"/>
        <v>0</v>
      </c>
      <c r="Q291">
        <f t="shared" si="14"/>
        <v>0</v>
      </c>
    </row>
    <row r="292" spans="1:17" ht="29" thickBot="1">
      <c r="A292" s="2" t="s">
        <v>98</v>
      </c>
      <c r="B292" s="3" t="s">
        <v>19</v>
      </c>
      <c r="C292" s="2" t="s">
        <v>16</v>
      </c>
      <c r="D292" s="2" t="s">
        <v>17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  <c r="O292">
        <f t="shared" si="12"/>
        <v>0</v>
      </c>
      <c r="P292">
        <f t="shared" si="13"/>
        <v>0</v>
      </c>
      <c r="Q292">
        <f t="shared" si="14"/>
        <v>0</v>
      </c>
    </row>
    <row r="293" spans="1:17" ht="29" thickBot="1">
      <c r="A293" s="2" t="s">
        <v>98</v>
      </c>
      <c r="B293" s="3" t="s">
        <v>20</v>
      </c>
      <c r="C293" s="2" t="s">
        <v>16</v>
      </c>
      <c r="D293" s="2" t="s">
        <v>17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  <c r="O293">
        <f t="shared" si="12"/>
        <v>0</v>
      </c>
      <c r="P293">
        <f t="shared" si="13"/>
        <v>0</v>
      </c>
      <c r="Q293">
        <f t="shared" si="14"/>
        <v>0</v>
      </c>
    </row>
    <row r="294" spans="1:17" ht="29" thickBot="1">
      <c r="A294" s="2" t="s">
        <v>99</v>
      </c>
      <c r="B294" s="3" t="s">
        <v>15</v>
      </c>
      <c r="C294" s="2" t="s">
        <v>31</v>
      </c>
      <c r="D294" s="2" t="s">
        <v>22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  <c r="O294">
        <f t="shared" si="12"/>
        <v>0</v>
      </c>
      <c r="P294">
        <f t="shared" si="13"/>
        <v>1</v>
      </c>
      <c r="Q294">
        <f t="shared" si="14"/>
        <v>0</v>
      </c>
    </row>
    <row r="295" spans="1:17" ht="29" thickBot="1">
      <c r="A295" s="2" t="s">
        <v>99</v>
      </c>
      <c r="B295" s="3" t="s">
        <v>18</v>
      </c>
      <c r="C295" s="2" t="s">
        <v>31</v>
      </c>
      <c r="D295" s="2" t="s">
        <v>22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  <c r="O295">
        <f t="shared" si="12"/>
        <v>0</v>
      </c>
      <c r="P295">
        <f t="shared" si="13"/>
        <v>1</v>
      </c>
      <c r="Q295">
        <f t="shared" si="14"/>
        <v>0</v>
      </c>
    </row>
    <row r="296" spans="1:17" ht="29" thickBot="1">
      <c r="A296" s="2" t="s">
        <v>99</v>
      </c>
      <c r="B296" s="3" t="s">
        <v>19</v>
      </c>
      <c r="C296" s="2" t="s">
        <v>31</v>
      </c>
      <c r="D296" s="2" t="s">
        <v>22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  <c r="O296">
        <f t="shared" si="12"/>
        <v>0</v>
      </c>
      <c r="P296">
        <f t="shared" si="13"/>
        <v>1</v>
      </c>
      <c r="Q296">
        <f t="shared" si="14"/>
        <v>0</v>
      </c>
    </row>
    <row r="297" spans="1:17" ht="29" thickBot="1">
      <c r="A297" s="2" t="s">
        <v>99</v>
      </c>
      <c r="B297" s="3" t="s">
        <v>20</v>
      </c>
      <c r="C297" s="2" t="s">
        <v>31</v>
      </c>
      <c r="D297" s="2" t="s">
        <v>22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  <c r="O297">
        <f t="shared" si="12"/>
        <v>0</v>
      </c>
      <c r="P297">
        <f t="shared" si="13"/>
        <v>1</v>
      </c>
      <c r="Q297">
        <f t="shared" si="14"/>
        <v>0</v>
      </c>
    </row>
    <row r="298" spans="1:17" ht="29" thickBot="1">
      <c r="A298" s="2" t="s">
        <v>100</v>
      </c>
      <c r="B298" s="3" t="s">
        <v>15</v>
      </c>
      <c r="C298" s="2" t="s">
        <v>31</v>
      </c>
      <c r="D298" s="2" t="s">
        <v>22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  <c r="O298">
        <f t="shared" si="12"/>
        <v>0</v>
      </c>
      <c r="P298">
        <f t="shared" si="13"/>
        <v>1</v>
      </c>
      <c r="Q298">
        <f t="shared" si="14"/>
        <v>0</v>
      </c>
    </row>
    <row r="299" spans="1:17" ht="29" thickBot="1">
      <c r="A299" s="2" t="s">
        <v>100</v>
      </c>
      <c r="B299" s="3" t="s">
        <v>18</v>
      </c>
      <c r="C299" s="2" t="s">
        <v>31</v>
      </c>
      <c r="D299" s="2" t="s">
        <v>22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  <c r="O299">
        <f t="shared" si="12"/>
        <v>0</v>
      </c>
      <c r="P299">
        <f t="shared" si="13"/>
        <v>1</v>
      </c>
      <c r="Q299">
        <f t="shared" si="14"/>
        <v>0</v>
      </c>
    </row>
    <row r="300" spans="1:17" ht="29" thickBot="1">
      <c r="A300" s="2" t="s">
        <v>100</v>
      </c>
      <c r="B300" s="3" t="s">
        <v>19</v>
      </c>
      <c r="C300" s="2" t="s">
        <v>31</v>
      </c>
      <c r="D300" s="2" t="s">
        <v>22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  <c r="O300">
        <f t="shared" si="12"/>
        <v>0</v>
      </c>
      <c r="P300">
        <f t="shared" si="13"/>
        <v>1</v>
      </c>
      <c r="Q300">
        <f t="shared" si="14"/>
        <v>0</v>
      </c>
    </row>
    <row r="301" spans="1:17" ht="29" thickBot="1">
      <c r="A301" s="2" t="s">
        <v>100</v>
      </c>
      <c r="B301" s="3" t="s">
        <v>20</v>
      </c>
      <c r="C301" s="2" t="s">
        <v>31</v>
      </c>
      <c r="D301" s="2" t="s">
        <v>22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  <c r="O301">
        <f t="shared" si="12"/>
        <v>0</v>
      </c>
      <c r="P301">
        <f t="shared" si="13"/>
        <v>1</v>
      </c>
      <c r="Q301">
        <f t="shared" si="14"/>
        <v>0</v>
      </c>
    </row>
    <row r="302" spans="1:17" ht="29" thickBot="1">
      <c r="A302" s="2" t="s">
        <v>101</v>
      </c>
      <c r="B302" s="3" t="s">
        <v>15</v>
      </c>
      <c r="C302" s="2" t="s">
        <v>24</v>
      </c>
      <c r="D302" s="2" t="s">
        <v>32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  <c r="O302">
        <f t="shared" si="12"/>
        <v>0</v>
      </c>
      <c r="P302">
        <f t="shared" si="13"/>
        <v>0</v>
      </c>
      <c r="Q302">
        <f t="shared" si="14"/>
        <v>1</v>
      </c>
    </row>
    <row r="303" spans="1:17" ht="29" thickBot="1">
      <c r="A303" s="2" t="s">
        <v>101</v>
      </c>
      <c r="B303" s="3" t="s">
        <v>18</v>
      </c>
      <c r="C303" s="2" t="s">
        <v>24</v>
      </c>
      <c r="D303" s="2" t="s">
        <v>32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  <c r="O303">
        <f t="shared" si="12"/>
        <v>0</v>
      </c>
      <c r="P303">
        <f t="shared" si="13"/>
        <v>0</v>
      </c>
      <c r="Q303">
        <f t="shared" si="14"/>
        <v>1</v>
      </c>
    </row>
    <row r="304" spans="1:17" ht="29" thickBot="1">
      <c r="A304" s="2" t="s">
        <v>101</v>
      </c>
      <c r="B304" s="3" t="s">
        <v>19</v>
      </c>
      <c r="C304" s="2" t="s">
        <v>24</v>
      </c>
      <c r="D304" s="2" t="s">
        <v>32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  <c r="O304">
        <f t="shared" si="12"/>
        <v>0</v>
      </c>
      <c r="P304">
        <f t="shared" si="13"/>
        <v>0</v>
      </c>
      <c r="Q304">
        <f t="shared" si="14"/>
        <v>1</v>
      </c>
    </row>
    <row r="305" spans="1:17" ht="29" thickBot="1">
      <c r="A305" s="2" t="s">
        <v>101</v>
      </c>
      <c r="B305" s="3" t="s">
        <v>20</v>
      </c>
      <c r="C305" s="2" t="s">
        <v>24</v>
      </c>
      <c r="D305" s="2" t="s">
        <v>32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  <c r="O305">
        <f t="shared" si="12"/>
        <v>0</v>
      </c>
      <c r="P305">
        <f t="shared" si="13"/>
        <v>0</v>
      </c>
      <c r="Q305">
        <f t="shared" si="14"/>
        <v>1</v>
      </c>
    </row>
    <row r="306" spans="1:17" ht="29" thickBot="1">
      <c r="A306" s="2" t="s">
        <v>102</v>
      </c>
      <c r="B306" s="3" t="s">
        <v>15</v>
      </c>
      <c r="C306" s="2" t="s">
        <v>28</v>
      </c>
      <c r="D306" s="2" t="s">
        <v>17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  <c r="O306">
        <f t="shared" si="12"/>
        <v>0</v>
      </c>
      <c r="P306">
        <f t="shared" si="13"/>
        <v>0</v>
      </c>
      <c r="Q306">
        <f t="shared" si="14"/>
        <v>0</v>
      </c>
    </row>
    <row r="307" spans="1:17" ht="29" thickBot="1">
      <c r="A307" s="2" t="s">
        <v>102</v>
      </c>
      <c r="B307" s="3" t="s">
        <v>18</v>
      </c>
      <c r="C307" s="2" t="s">
        <v>28</v>
      </c>
      <c r="D307" s="2" t="s">
        <v>17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  <c r="O307">
        <f t="shared" si="12"/>
        <v>0</v>
      </c>
      <c r="P307">
        <f t="shared" si="13"/>
        <v>0</v>
      </c>
      <c r="Q307">
        <f t="shared" si="14"/>
        <v>0</v>
      </c>
    </row>
    <row r="308" spans="1:17" ht="29" thickBot="1">
      <c r="A308" s="2" t="s">
        <v>102</v>
      </c>
      <c r="B308" s="3" t="s">
        <v>19</v>
      </c>
      <c r="C308" s="2" t="s">
        <v>28</v>
      </c>
      <c r="D308" s="2" t="s">
        <v>17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  <c r="O308">
        <f t="shared" si="12"/>
        <v>0</v>
      </c>
      <c r="P308">
        <f t="shared" si="13"/>
        <v>0</v>
      </c>
      <c r="Q308">
        <f t="shared" si="14"/>
        <v>0</v>
      </c>
    </row>
    <row r="309" spans="1:17" ht="29" thickBot="1">
      <c r="A309" s="2" t="s">
        <v>102</v>
      </c>
      <c r="B309" s="3" t="s">
        <v>20</v>
      </c>
      <c r="C309" s="2" t="s">
        <v>28</v>
      </c>
      <c r="D309" s="2" t="s">
        <v>17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  <c r="O309">
        <f t="shared" si="12"/>
        <v>0</v>
      </c>
      <c r="P309">
        <f t="shared" si="13"/>
        <v>0</v>
      </c>
      <c r="Q309">
        <f t="shared" si="14"/>
        <v>0</v>
      </c>
    </row>
    <row r="310" spans="1:17" ht="29" thickBot="1">
      <c r="A310" s="2" t="s">
        <v>103</v>
      </c>
      <c r="B310" s="3" t="s">
        <v>15</v>
      </c>
      <c r="C310" s="2" t="s">
        <v>28</v>
      </c>
      <c r="D310" s="2" t="s">
        <v>22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  <c r="O310">
        <f t="shared" si="12"/>
        <v>0</v>
      </c>
      <c r="P310">
        <f t="shared" si="13"/>
        <v>1</v>
      </c>
      <c r="Q310">
        <f t="shared" si="14"/>
        <v>0</v>
      </c>
    </row>
    <row r="311" spans="1:17" ht="29" thickBot="1">
      <c r="A311" s="2" t="s">
        <v>103</v>
      </c>
      <c r="B311" s="3" t="s">
        <v>18</v>
      </c>
      <c r="C311" s="2" t="s">
        <v>28</v>
      </c>
      <c r="D311" s="2" t="s">
        <v>22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  <c r="O311">
        <f t="shared" si="12"/>
        <v>0</v>
      </c>
      <c r="P311">
        <f t="shared" si="13"/>
        <v>1</v>
      </c>
      <c r="Q311">
        <f t="shared" si="14"/>
        <v>0</v>
      </c>
    </row>
    <row r="312" spans="1:17" ht="29" thickBot="1">
      <c r="A312" s="2" t="s">
        <v>103</v>
      </c>
      <c r="B312" s="3" t="s">
        <v>19</v>
      </c>
      <c r="C312" s="2" t="s">
        <v>28</v>
      </c>
      <c r="D312" s="2" t="s">
        <v>22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  <c r="O312">
        <f t="shared" si="12"/>
        <v>0</v>
      </c>
      <c r="P312">
        <f t="shared" si="13"/>
        <v>1</v>
      </c>
      <c r="Q312">
        <f t="shared" si="14"/>
        <v>0</v>
      </c>
    </row>
    <row r="313" spans="1:17" ht="29" thickBot="1">
      <c r="A313" s="2" t="s">
        <v>103</v>
      </c>
      <c r="B313" s="3" t="s">
        <v>20</v>
      </c>
      <c r="C313" s="2" t="s">
        <v>28</v>
      </c>
      <c r="D313" s="2" t="s">
        <v>22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2">
        <v>3.9</v>
      </c>
      <c r="M313" s="3">
        <v>771129.07</v>
      </c>
      <c r="N313" s="3">
        <v>116851.13</v>
      </c>
      <c r="O313">
        <f t="shared" si="12"/>
        <v>0</v>
      </c>
      <c r="P313">
        <f t="shared" si="13"/>
        <v>1</v>
      </c>
      <c r="Q313">
        <f t="shared" si="14"/>
        <v>0</v>
      </c>
    </row>
    <row r="314" spans="1:17" ht="29" thickBot="1">
      <c r="A314" s="2" t="s">
        <v>104</v>
      </c>
      <c r="B314" s="3" t="s">
        <v>15</v>
      </c>
      <c r="C314" s="2" t="s">
        <v>24</v>
      </c>
      <c r="D314" s="2" t="s">
        <v>17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  <c r="O314">
        <f t="shared" si="12"/>
        <v>0</v>
      </c>
      <c r="P314">
        <f t="shared" si="13"/>
        <v>0</v>
      </c>
      <c r="Q314">
        <f t="shared" si="14"/>
        <v>0</v>
      </c>
    </row>
    <row r="315" spans="1:17" ht="29" thickBot="1">
      <c r="A315" s="2" t="s">
        <v>104</v>
      </c>
      <c r="B315" s="3" t="s">
        <v>18</v>
      </c>
      <c r="C315" s="2" t="s">
        <v>24</v>
      </c>
      <c r="D315" s="2" t="s">
        <v>17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2">
        <v>3.9</v>
      </c>
      <c r="M315" s="3">
        <v>688368.46</v>
      </c>
      <c r="N315" s="3">
        <v>93588.42</v>
      </c>
      <c r="O315">
        <f t="shared" si="12"/>
        <v>0</v>
      </c>
      <c r="P315">
        <f t="shared" si="13"/>
        <v>0</v>
      </c>
      <c r="Q315">
        <f t="shared" si="14"/>
        <v>0</v>
      </c>
    </row>
    <row r="316" spans="1:17" ht="29" thickBot="1">
      <c r="A316" s="2" t="s">
        <v>104</v>
      </c>
      <c r="B316" s="3" t="s">
        <v>19</v>
      </c>
      <c r="C316" s="2" t="s">
        <v>24</v>
      </c>
      <c r="D316" s="2" t="s">
        <v>17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  <c r="O316">
        <f t="shared" si="12"/>
        <v>0</v>
      </c>
      <c r="P316">
        <f t="shared" si="13"/>
        <v>0</v>
      </c>
      <c r="Q316">
        <f t="shared" si="14"/>
        <v>0</v>
      </c>
    </row>
    <row r="317" spans="1:17" ht="29" thickBot="1">
      <c r="A317" s="2" t="s">
        <v>104</v>
      </c>
      <c r="B317" s="3" t="s">
        <v>20</v>
      </c>
      <c r="C317" s="2" t="s">
        <v>24</v>
      </c>
      <c r="D317" s="2" t="s">
        <v>17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  <c r="O317">
        <f t="shared" si="12"/>
        <v>0</v>
      </c>
      <c r="P317">
        <f t="shared" si="13"/>
        <v>0</v>
      </c>
      <c r="Q317">
        <f t="shared" si="14"/>
        <v>0</v>
      </c>
    </row>
    <row r="318" spans="1:17" ht="29" thickBot="1">
      <c r="A318" s="2" t="s">
        <v>105</v>
      </c>
      <c r="B318" s="3" t="s">
        <v>15</v>
      </c>
      <c r="C318" s="2" t="s">
        <v>16</v>
      </c>
      <c r="D318" s="2" t="s">
        <v>17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  <c r="O318">
        <f t="shared" si="12"/>
        <v>0</v>
      </c>
      <c r="P318">
        <f t="shared" si="13"/>
        <v>0</v>
      </c>
      <c r="Q318">
        <f t="shared" si="14"/>
        <v>0</v>
      </c>
    </row>
    <row r="319" spans="1:17" ht="29" thickBot="1">
      <c r="A319" s="2" t="s">
        <v>105</v>
      </c>
      <c r="B319" s="3" t="s">
        <v>18</v>
      </c>
      <c r="C319" s="2" t="s">
        <v>16</v>
      </c>
      <c r="D319" s="2" t="s">
        <v>17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  <c r="O319">
        <f t="shared" si="12"/>
        <v>0</v>
      </c>
      <c r="P319">
        <f t="shared" si="13"/>
        <v>0</v>
      </c>
      <c r="Q319">
        <f t="shared" si="14"/>
        <v>0</v>
      </c>
    </row>
    <row r="320" spans="1:17" ht="29" thickBot="1">
      <c r="A320" s="2" t="s">
        <v>105</v>
      </c>
      <c r="B320" s="3" t="s">
        <v>19</v>
      </c>
      <c r="C320" s="2" t="s">
        <v>16</v>
      </c>
      <c r="D320" s="2" t="s">
        <v>17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  <c r="O320">
        <f t="shared" si="12"/>
        <v>0</v>
      </c>
      <c r="P320">
        <f t="shared" si="13"/>
        <v>0</v>
      </c>
      <c r="Q320">
        <f t="shared" si="14"/>
        <v>0</v>
      </c>
    </row>
    <row r="321" spans="1:17" ht="29" thickBot="1">
      <c r="A321" s="2" t="s">
        <v>105</v>
      </c>
      <c r="B321" s="3" t="s">
        <v>20</v>
      </c>
      <c r="C321" s="2" t="s">
        <v>16</v>
      </c>
      <c r="D321" s="2" t="s">
        <v>17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  <c r="O321">
        <f t="shared" si="12"/>
        <v>0</v>
      </c>
      <c r="P321">
        <f t="shared" si="13"/>
        <v>0</v>
      </c>
      <c r="Q321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9B7B-2D08-4FE8-A5D9-784341AFFF83}">
  <dimension ref="A1:I344"/>
  <sheetViews>
    <sheetView topLeftCell="A2" zoomScale="96" zoomScaleNormal="130" workbookViewId="0">
      <selection activeCell="O17" sqref="O17"/>
    </sheetView>
  </sheetViews>
  <sheetFormatPr defaultRowHeight="14.5"/>
  <cols>
    <col min="1" max="1" width="16.1796875" customWidth="1"/>
    <col min="2" max="2" width="23.26953125" customWidth="1"/>
    <col min="3" max="3" width="18.08984375" customWidth="1"/>
    <col min="4" max="4" width="16.08984375" customWidth="1"/>
    <col min="5" max="5" width="16.6328125" customWidth="1"/>
    <col min="6" max="6" width="18.26953125" customWidth="1"/>
    <col min="7" max="8" width="18.36328125" customWidth="1"/>
    <col min="9" max="9" width="12.7265625" customWidth="1"/>
  </cols>
  <sheetData>
    <row r="1" spans="1:9">
      <c r="A1" t="s">
        <v>109</v>
      </c>
    </row>
    <row r="2" spans="1:9" ht="15" thickBot="1"/>
    <row r="3" spans="1:9">
      <c r="A3" s="8" t="s">
        <v>110</v>
      </c>
      <c r="B3" s="8"/>
    </row>
    <row r="4" spans="1:9">
      <c r="A4" s="5" t="s">
        <v>111</v>
      </c>
      <c r="B4" s="5">
        <v>0.40895561021322352</v>
      </c>
    </row>
    <row r="5" spans="1:9">
      <c r="A5" s="5" t="s">
        <v>112</v>
      </c>
      <c r="B5" s="5">
        <v>0.16724469112487</v>
      </c>
    </row>
    <row r="6" spans="1:9">
      <c r="A6" s="5" t="s">
        <v>113</v>
      </c>
      <c r="B6" s="5">
        <v>0.16462596373847024</v>
      </c>
    </row>
    <row r="7" spans="1:9">
      <c r="A7" s="5" t="s">
        <v>114</v>
      </c>
      <c r="B7" s="5">
        <v>94846.03383215853</v>
      </c>
    </row>
    <row r="8" spans="1:9" ht="15" thickBot="1">
      <c r="A8" s="6" t="s">
        <v>115</v>
      </c>
      <c r="B8" s="6">
        <v>320</v>
      </c>
    </row>
    <row r="10" spans="1:9" ht="15" thickBot="1">
      <c r="A10" t="s">
        <v>116</v>
      </c>
    </row>
    <row r="11" spans="1:9">
      <c r="A11" s="7"/>
      <c r="B11" s="7" t="s">
        <v>121</v>
      </c>
      <c r="C11" s="7" t="s">
        <v>122</v>
      </c>
      <c r="D11" s="7" t="s">
        <v>123</v>
      </c>
      <c r="E11" s="7" t="s">
        <v>124</v>
      </c>
      <c r="F11" s="7" t="s">
        <v>125</v>
      </c>
    </row>
    <row r="12" spans="1:9">
      <c r="A12" s="5" t="s">
        <v>117</v>
      </c>
      <c r="B12" s="5">
        <v>1</v>
      </c>
      <c r="C12" s="5">
        <v>574513714277.01416</v>
      </c>
      <c r="D12" s="5">
        <v>574513714277.01416</v>
      </c>
      <c r="E12" s="5">
        <v>63.864872683367629</v>
      </c>
      <c r="F12" s="5">
        <v>2.4800615101359619E-14</v>
      </c>
    </row>
    <row r="13" spans="1:9">
      <c r="A13" s="5" t="s">
        <v>118</v>
      </c>
      <c r="B13" s="5">
        <v>318</v>
      </c>
      <c r="C13" s="5">
        <v>2860654902513.7251</v>
      </c>
      <c r="D13" s="5">
        <v>8995770133.6909599</v>
      </c>
      <c r="E13" s="5"/>
      <c r="F13" s="5"/>
    </row>
    <row r="14" spans="1:9" ht="15" thickBot="1">
      <c r="A14" s="6" t="s">
        <v>119</v>
      </c>
      <c r="B14" s="6">
        <v>319</v>
      </c>
      <c r="C14" s="6">
        <v>3435168616790.7393</v>
      </c>
      <c r="D14" s="6"/>
      <c r="E14" s="6"/>
      <c r="F14" s="6"/>
    </row>
    <row r="15" spans="1:9" ht="15" thickBot="1"/>
    <row r="16" spans="1:9">
      <c r="A16" s="7"/>
      <c r="B16" s="7" t="s">
        <v>126</v>
      </c>
      <c r="C16" s="7" t="s">
        <v>114</v>
      </c>
      <c r="D16" s="7" t="s">
        <v>127</v>
      </c>
      <c r="E16" s="7" t="s">
        <v>128</v>
      </c>
      <c r="F16" s="7" t="s">
        <v>129</v>
      </c>
      <c r="G16" s="7" t="s">
        <v>130</v>
      </c>
      <c r="H16" s="7" t="s">
        <v>131</v>
      </c>
      <c r="I16" s="7" t="s">
        <v>132</v>
      </c>
    </row>
    <row r="17" spans="1:9">
      <c r="A17" s="5" t="s">
        <v>120</v>
      </c>
      <c r="B17" s="5">
        <v>560777.34544943704</v>
      </c>
      <c r="C17" s="5">
        <v>15906.905953068674</v>
      </c>
      <c r="D17" s="5">
        <v>35.253703460870398</v>
      </c>
      <c r="E17" s="5">
        <v>6.952876876284135E-112</v>
      </c>
      <c r="F17" s="5">
        <v>529481.27234763221</v>
      </c>
      <c r="G17" s="5">
        <v>592073.41855124186</v>
      </c>
      <c r="H17" s="5">
        <v>529481.27234763221</v>
      </c>
      <c r="I17" s="5">
        <v>592073.41855124186</v>
      </c>
    </row>
    <row r="18" spans="1:9" ht="15" thickBot="1">
      <c r="A18" s="6" t="s">
        <v>4</v>
      </c>
      <c r="B18" s="6">
        <v>2.1295753275898281</v>
      </c>
      <c r="C18" s="6">
        <v>0.26647838106932348</v>
      </c>
      <c r="D18" s="6">
        <v>7.991550080138869</v>
      </c>
      <c r="E18" s="6">
        <v>2.4800615101360068E-14</v>
      </c>
      <c r="F18" s="6">
        <v>1.6052919176921738</v>
      </c>
      <c r="G18" s="6">
        <v>2.6538587374874822</v>
      </c>
      <c r="H18" s="6">
        <v>1.6052919176921738</v>
      </c>
      <c r="I18" s="6">
        <v>2.6538587374874822</v>
      </c>
    </row>
    <row r="22" spans="1:9">
      <c r="A22" t="s">
        <v>133</v>
      </c>
    </row>
    <row r="23" spans="1:9" ht="15" thickBot="1"/>
    <row r="24" spans="1:9">
      <c r="A24" s="7" t="s">
        <v>134</v>
      </c>
      <c r="B24" s="7" t="s">
        <v>135</v>
      </c>
      <c r="C24" s="7" t="s">
        <v>136</v>
      </c>
    </row>
    <row r="25" spans="1:9">
      <c r="A25" s="5">
        <v>1</v>
      </c>
      <c r="B25" s="5">
        <v>710676.25743644347</v>
      </c>
      <c r="C25" s="5">
        <v>-51843.637436443474</v>
      </c>
    </row>
    <row r="26" spans="1:9">
      <c r="A26" s="5">
        <v>2</v>
      </c>
      <c r="B26" s="5">
        <v>654112.13865375798</v>
      </c>
      <c r="C26" s="5">
        <v>-19676.138653757982</v>
      </c>
    </row>
    <row r="27" spans="1:9">
      <c r="A27" s="5">
        <v>3</v>
      </c>
      <c r="B27" s="5">
        <v>688385.22583544278</v>
      </c>
      <c r="C27" s="5">
        <v>-9663.16583544272</v>
      </c>
    </row>
    <row r="28" spans="1:9">
      <c r="A28" s="5">
        <v>4</v>
      </c>
      <c r="B28" s="5">
        <v>681857.82190734067</v>
      </c>
      <c r="C28" s="5">
        <v>-22937.521907340619</v>
      </c>
    </row>
    <row r="29" spans="1:9">
      <c r="A29" s="5">
        <v>5</v>
      </c>
      <c r="B29" s="5">
        <v>663875.7091369254</v>
      </c>
      <c r="C29" s="5">
        <v>77465.730863074539</v>
      </c>
    </row>
    <row r="30" spans="1:9">
      <c r="A30" s="5">
        <v>6</v>
      </c>
      <c r="B30" s="5">
        <v>698797.69921668014</v>
      </c>
      <c r="C30" s="5">
        <v>63037.640783319832</v>
      </c>
    </row>
    <row r="31" spans="1:9">
      <c r="A31" s="5">
        <v>7</v>
      </c>
      <c r="B31" s="5">
        <v>659192.36837224313</v>
      </c>
      <c r="C31" s="5">
        <v>147423.17162775691</v>
      </c>
    </row>
    <row r="32" spans="1:9">
      <c r="A32" s="5">
        <v>8</v>
      </c>
      <c r="B32" s="5">
        <v>705904.752253199</v>
      </c>
      <c r="C32" s="5">
        <v>144259.50774680101</v>
      </c>
    </row>
    <row r="33" spans="1:3">
      <c r="A33" s="5">
        <v>9</v>
      </c>
      <c r="B33" s="5">
        <v>713763.60926761688</v>
      </c>
      <c r="C33" s="5">
        <v>216818.09073238308</v>
      </c>
    </row>
    <row r="34" spans="1:3">
      <c r="A34" s="5">
        <v>10</v>
      </c>
      <c r="B34" s="5">
        <v>705872.63825725892</v>
      </c>
      <c r="C34" s="5">
        <v>73138.301742741023</v>
      </c>
    </row>
    <row r="35" spans="1:3">
      <c r="A35" s="5">
        <v>11</v>
      </c>
      <c r="B35" s="5">
        <v>633790.28276667313</v>
      </c>
      <c r="C35" s="5">
        <v>89270.477233326877</v>
      </c>
    </row>
    <row r="36" spans="1:3">
      <c r="A36" s="5">
        <v>12</v>
      </c>
      <c r="B36" s="5">
        <v>705545.62066995422</v>
      </c>
      <c r="C36" s="5">
        <v>205246.31933004572</v>
      </c>
    </row>
    <row r="37" spans="1:3">
      <c r="A37" s="5">
        <v>13</v>
      </c>
      <c r="B37" s="5">
        <v>713741.03576914431</v>
      </c>
      <c r="C37" s="5">
        <v>208427.56423085567</v>
      </c>
    </row>
    <row r="38" spans="1:3">
      <c r="A38" s="5">
        <v>14</v>
      </c>
      <c r="B38" s="5">
        <v>679430.51065320056</v>
      </c>
      <c r="C38" s="5">
        <v>47175.769346799469</v>
      </c>
    </row>
    <row r="39" spans="1:3">
      <c r="A39" s="5">
        <v>15</v>
      </c>
      <c r="B39" s="5">
        <v>688359.15983343311</v>
      </c>
      <c r="C39" s="5">
        <v>58141.930166566861</v>
      </c>
    </row>
    <row r="40" spans="1:3">
      <c r="A40" s="5">
        <v>16</v>
      </c>
      <c r="B40" s="5">
        <v>721146.52749207162</v>
      </c>
      <c r="C40" s="5">
        <v>112870.4925079284</v>
      </c>
    </row>
    <row r="41" spans="1:3">
      <c r="A41" s="5">
        <v>17</v>
      </c>
      <c r="B41" s="5">
        <v>664709.60824370314</v>
      </c>
      <c r="C41" s="5">
        <v>1442.911756296875</v>
      </c>
    </row>
    <row r="42" spans="1:3">
      <c r="A42" s="5">
        <v>18</v>
      </c>
      <c r="B42" s="5">
        <v>686673.36670835968</v>
      </c>
      <c r="C42" s="5">
        <v>-113518.17670835974</v>
      </c>
    </row>
    <row r="43" spans="1:3">
      <c r="A43" s="5">
        <v>19</v>
      </c>
      <c r="B43" s="5">
        <v>728654.1536477101</v>
      </c>
      <c r="C43" s="5">
        <v>-62080.95364771015</v>
      </c>
    </row>
    <row r="44" spans="1:3">
      <c r="A44" s="5">
        <v>20</v>
      </c>
      <c r="B44" s="5">
        <v>649031.05710514181</v>
      </c>
      <c r="C44" s="5">
        <v>-57411.107105141855</v>
      </c>
    </row>
    <row r="45" spans="1:3">
      <c r="A45" s="5">
        <v>21</v>
      </c>
      <c r="B45" s="5">
        <v>625423.33037484554</v>
      </c>
      <c r="C45" s="5">
        <v>-209701.51037484553</v>
      </c>
    </row>
    <row r="46" spans="1:3">
      <c r="A46" s="5">
        <v>22</v>
      </c>
      <c r="B46" s="5">
        <v>632158.32530588121</v>
      </c>
      <c r="C46" s="5">
        <v>-140253.19530588121</v>
      </c>
    </row>
    <row r="47" spans="1:3">
      <c r="A47" s="5">
        <v>23</v>
      </c>
      <c r="B47" s="5">
        <v>650788.89376354753</v>
      </c>
      <c r="C47" s="5">
        <v>-94859.493763547507</v>
      </c>
    </row>
    <row r="48" spans="1:3">
      <c r="A48" s="5">
        <v>24</v>
      </c>
      <c r="B48" s="5">
        <v>692939.7059970526</v>
      </c>
      <c r="C48" s="5">
        <v>-127128.71599705261</v>
      </c>
    </row>
    <row r="49" spans="1:3">
      <c r="A49" s="5">
        <v>25</v>
      </c>
      <c r="B49" s="5">
        <v>683646.79295703582</v>
      </c>
      <c r="C49" s="5">
        <v>128124.34704296419</v>
      </c>
    </row>
    <row r="50" spans="1:3">
      <c r="A50" s="5">
        <v>26</v>
      </c>
      <c r="B50" s="5">
        <v>927949.18293500762</v>
      </c>
      <c r="C50" s="5">
        <v>-127497.24293500767</v>
      </c>
    </row>
    <row r="51" spans="1:3">
      <c r="A51" s="5">
        <v>27</v>
      </c>
      <c r="B51" s="5">
        <v>678480.08118449722</v>
      </c>
      <c r="C51" s="5">
        <v>105192.73881550273</v>
      </c>
    </row>
    <row r="52" spans="1:3">
      <c r="A52" s="5">
        <v>28</v>
      </c>
      <c r="B52" s="5">
        <v>673038.12180086761</v>
      </c>
      <c r="C52" s="5">
        <v>28603.848199132364</v>
      </c>
    </row>
    <row r="53" spans="1:3">
      <c r="A53" s="5">
        <v>29</v>
      </c>
      <c r="B53" s="5">
        <v>706867.53325880237</v>
      </c>
      <c r="C53" s="5">
        <v>-195023.1232588024</v>
      </c>
    </row>
    <row r="54" spans="1:3">
      <c r="A54" s="5">
        <v>30</v>
      </c>
      <c r="B54" s="5">
        <v>695316.95093524118</v>
      </c>
      <c r="C54" s="5">
        <v>-157933.16093524115</v>
      </c>
    </row>
    <row r="55" spans="1:3">
      <c r="A55" s="5">
        <v>31</v>
      </c>
      <c r="B55" s="5">
        <v>656544.51829717786</v>
      </c>
      <c r="C55" s="5">
        <v>-156371.49829717784</v>
      </c>
    </row>
    <row r="56" spans="1:3">
      <c r="A56" s="5">
        <v>32</v>
      </c>
      <c r="B56" s="5">
        <v>709456.52187181311</v>
      </c>
      <c r="C56" s="5">
        <v>-281539.1418718131</v>
      </c>
    </row>
    <row r="57" spans="1:3">
      <c r="A57" s="5">
        <v>33</v>
      </c>
      <c r="B57" s="5">
        <v>677047.53715738084</v>
      </c>
      <c r="C57" s="5">
        <v>-35182.507157380809</v>
      </c>
    </row>
    <row r="58" spans="1:3">
      <c r="A58" s="5">
        <v>34</v>
      </c>
      <c r="B58" s="5">
        <v>717880.18485461432</v>
      </c>
      <c r="C58" s="5">
        <v>81597.575145385694</v>
      </c>
    </row>
    <row r="59" spans="1:3">
      <c r="A59" s="5">
        <v>35</v>
      </c>
      <c r="B59" s="5">
        <v>719247.30832766718</v>
      </c>
      <c r="C59" s="5">
        <v>79704.86167233286</v>
      </c>
    </row>
    <row r="60" spans="1:3">
      <c r="A60" s="5">
        <v>36</v>
      </c>
      <c r="B60" s="5">
        <v>672545.48714033619</v>
      </c>
      <c r="C60" s="5">
        <v>128434.29285966384</v>
      </c>
    </row>
    <row r="61" spans="1:3">
      <c r="A61" s="5">
        <v>37</v>
      </c>
      <c r="B61" s="5">
        <v>721070.20351233077</v>
      </c>
      <c r="C61" s="5">
        <v>99523.726487669279</v>
      </c>
    </row>
    <row r="62" spans="1:3">
      <c r="A62" s="5">
        <v>38</v>
      </c>
      <c r="B62" s="5">
        <v>691204.05951356038</v>
      </c>
      <c r="C62" s="5">
        <v>27126.470486439648</v>
      </c>
    </row>
    <row r="63" spans="1:3">
      <c r="A63" s="5">
        <v>39</v>
      </c>
      <c r="B63" s="5">
        <v>759639.77280468796</v>
      </c>
      <c r="C63" s="5">
        <v>-23006.372804687941</v>
      </c>
    </row>
    <row r="64" spans="1:3">
      <c r="A64" s="5">
        <v>40</v>
      </c>
      <c r="B64" s="5">
        <v>699225.70126601914</v>
      </c>
      <c r="C64" s="5">
        <v>129398.14873398084</v>
      </c>
    </row>
    <row r="65" spans="1:3">
      <c r="A65" s="5">
        <v>41</v>
      </c>
      <c r="B65" s="5">
        <v>646946.22415518458</v>
      </c>
      <c r="C65" s="5">
        <v>-54750.374155184603</v>
      </c>
    </row>
    <row r="66" spans="1:3">
      <c r="A66" s="5">
        <v>42</v>
      </c>
      <c r="B66" s="5">
        <v>659001.622310151</v>
      </c>
      <c r="C66" s="5">
        <v>-126357.16231015103</v>
      </c>
    </row>
    <row r="67" spans="1:3">
      <c r="A67" s="5">
        <v>43</v>
      </c>
      <c r="B67" s="5">
        <v>705753.59499644663</v>
      </c>
      <c r="C67" s="5">
        <v>-48324.414996446576</v>
      </c>
    </row>
    <row r="68" spans="1:3">
      <c r="A68" s="5">
        <v>44</v>
      </c>
      <c r="B68" s="5">
        <v>698948.74999466608</v>
      </c>
      <c r="C68" s="5">
        <v>-93770.749994666083</v>
      </c>
    </row>
    <row r="69" spans="1:3">
      <c r="A69" s="5">
        <v>45</v>
      </c>
      <c r="B69" s="5">
        <v>856480.61364533973</v>
      </c>
      <c r="C69" s="5">
        <v>-261013.01364533976</v>
      </c>
    </row>
    <row r="70" spans="1:3">
      <c r="A70" s="5">
        <v>46</v>
      </c>
      <c r="B70" s="5">
        <v>696282.67075479659</v>
      </c>
      <c r="C70" s="5">
        <v>-96679.270754796569</v>
      </c>
    </row>
    <row r="71" spans="1:3">
      <c r="A71" s="5">
        <v>47</v>
      </c>
      <c r="B71" s="5">
        <v>667349.06779197778</v>
      </c>
      <c r="C71" s="5">
        <v>-52548.977791977813</v>
      </c>
    </row>
    <row r="72" spans="1:3">
      <c r="A72" s="5">
        <v>48</v>
      </c>
      <c r="B72" s="5">
        <v>650419.3485569508</v>
      </c>
      <c r="C72" s="5">
        <v>-65053.618556950823</v>
      </c>
    </row>
    <row r="73" spans="1:3">
      <c r="A73" s="5">
        <v>49</v>
      </c>
      <c r="B73" s="5">
        <v>660066.77200175158</v>
      </c>
      <c r="C73" s="5">
        <v>-37255.032001751591</v>
      </c>
    </row>
    <row r="74" spans="1:3">
      <c r="A74" s="5">
        <v>50</v>
      </c>
      <c r="B74" s="5">
        <v>666639.15256077237</v>
      </c>
      <c r="C74" s="5">
        <v>-63341.582560772425</v>
      </c>
    </row>
    <row r="75" spans="1:3">
      <c r="A75" s="5">
        <v>51</v>
      </c>
      <c r="B75" s="5">
        <v>663609.95943179552</v>
      </c>
      <c r="C75" s="5">
        <v>-37937.099431795534</v>
      </c>
    </row>
    <row r="76" spans="1:3">
      <c r="A76" s="5">
        <v>52</v>
      </c>
      <c r="B76" s="5">
        <v>699865.21273689438</v>
      </c>
      <c r="C76" s="5">
        <v>73949.927263105637</v>
      </c>
    </row>
    <row r="77" spans="1:3">
      <c r="A77" s="5">
        <v>53</v>
      </c>
      <c r="B77" s="5">
        <v>673677.76104626246</v>
      </c>
      <c r="C77" s="5">
        <v>-210143.51104626246</v>
      </c>
    </row>
    <row r="78" spans="1:3">
      <c r="A78" s="5">
        <v>54</v>
      </c>
      <c r="B78" s="5">
        <v>773466.57301289681</v>
      </c>
      <c r="C78" s="5">
        <v>-26788.823012896813</v>
      </c>
    </row>
    <row r="79" spans="1:3">
      <c r="A79" s="5">
        <v>55</v>
      </c>
      <c r="B79" s="5">
        <v>733689.27896075696</v>
      </c>
      <c r="C79" s="5">
        <v>-12836.778960756958</v>
      </c>
    </row>
    <row r="80" spans="1:3">
      <c r="A80" s="5">
        <v>56</v>
      </c>
      <c r="B80" s="5">
        <v>619997.85390425147</v>
      </c>
      <c r="C80" s="5">
        <v>-132532.9439042515</v>
      </c>
    </row>
    <row r="81" spans="1:3">
      <c r="A81" s="5">
        <v>57</v>
      </c>
      <c r="B81" s="5">
        <v>602016.69944273378</v>
      </c>
      <c r="C81" s="5">
        <v>-83967.439442733768</v>
      </c>
    </row>
    <row r="82" spans="1:3">
      <c r="A82" s="5">
        <v>58</v>
      </c>
      <c r="B82" s="5">
        <v>687286.21589613357</v>
      </c>
      <c r="C82" s="5">
        <v>-186987.73589613358</v>
      </c>
    </row>
    <row r="83" spans="1:3">
      <c r="A83" s="5">
        <v>59</v>
      </c>
      <c r="B83" s="5">
        <v>814006.16984930076</v>
      </c>
      <c r="C83" s="5">
        <v>-196715.01984930073</v>
      </c>
    </row>
    <row r="84" spans="1:3">
      <c r="A84" s="5">
        <v>60</v>
      </c>
      <c r="B84" s="5">
        <v>673542.87374501291</v>
      </c>
      <c r="C84" s="5">
        <v>-119786.44374501286</v>
      </c>
    </row>
    <row r="85" spans="1:3">
      <c r="A85" s="5">
        <v>61</v>
      </c>
      <c r="B85" s="5">
        <v>720299.53149702935</v>
      </c>
      <c r="C85" s="5">
        <v>29260.178502970608</v>
      </c>
    </row>
    <row r="86" spans="1:3">
      <c r="A86" s="5">
        <v>62</v>
      </c>
      <c r="B86" s="5">
        <v>640177.83748301235</v>
      </c>
      <c r="C86" s="5">
        <v>-24211.357483012369</v>
      </c>
    </row>
    <row r="87" spans="1:3">
      <c r="A87" s="5">
        <v>63</v>
      </c>
      <c r="B87" s="5">
        <v>667986.96078560397</v>
      </c>
      <c r="C87" s="5">
        <v>-95975.760785604012</v>
      </c>
    </row>
    <row r="88" spans="1:3">
      <c r="A88" s="5">
        <v>64</v>
      </c>
      <c r="B88" s="5">
        <v>720398.53545400896</v>
      </c>
      <c r="C88" s="5">
        <v>41461.654545990983</v>
      </c>
    </row>
    <row r="89" spans="1:3">
      <c r="A89" s="5">
        <v>65</v>
      </c>
      <c r="B89" s="5">
        <v>709933.46156218019</v>
      </c>
      <c r="C89" s="5">
        <v>74569.218437819858</v>
      </c>
    </row>
    <row r="90" spans="1:3">
      <c r="A90" s="5">
        <v>66</v>
      </c>
      <c r="B90" s="5">
        <v>669702.33371197758</v>
      </c>
      <c r="C90" s="5">
        <v>47439.216288022464</v>
      </c>
    </row>
    <row r="91" spans="1:3">
      <c r="A91" s="5">
        <v>67</v>
      </c>
      <c r="B91" s="5">
        <v>729750.84234991227</v>
      </c>
      <c r="C91" s="5">
        <v>-44371.762349912315</v>
      </c>
    </row>
    <row r="92" spans="1:3">
      <c r="A92" s="5">
        <v>68</v>
      </c>
      <c r="B92" s="5">
        <v>650258.69339423743</v>
      </c>
      <c r="C92" s="5">
        <v>90237.956605762593</v>
      </c>
    </row>
    <row r="93" spans="1:3">
      <c r="A93" s="5">
        <v>69</v>
      </c>
      <c r="B93" s="5">
        <v>711843.54156075534</v>
      </c>
      <c r="C93" s="5">
        <v>-49916.40156075533</v>
      </c>
    </row>
    <row r="94" spans="1:3">
      <c r="A94" s="5">
        <v>70</v>
      </c>
      <c r="B94" s="5">
        <v>639174.36029289884</v>
      </c>
      <c r="C94" s="5">
        <v>-160123.86029289884</v>
      </c>
    </row>
    <row r="95" spans="1:3">
      <c r="A95" s="5">
        <v>71</v>
      </c>
      <c r="B95" s="5">
        <v>689769.5988686491</v>
      </c>
      <c r="C95" s="5">
        <v>-84745.728868649108</v>
      </c>
    </row>
    <row r="96" spans="1:3">
      <c r="A96" s="5">
        <v>72</v>
      </c>
      <c r="B96" s="5">
        <v>678076.82480046479</v>
      </c>
      <c r="C96" s="5">
        <v>-3302.7348004648229</v>
      </c>
    </row>
    <row r="97" spans="1:3">
      <c r="A97" s="5">
        <v>73</v>
      </c>
      <c r="B97" s="5">
        <v>659166.83476406534</v>
      </c>
      <c r="C97" s="5">
        <v>-43097.424764065305</v>
      </c>
    </row>
    <row r="98" spans="1:3">
      <c r="A98" s="5">
        <v>74</v>
      </c>
      <c r="B98" s="5">
        <v>675269.53342062281</v>
      </c>
      <c r="C98" s="5">
        <v>-44439.59342062287</v>
      </c>
    </row>
    <row r="99" spans="1:3">
      <c r="A99" s="5">
        <v>75</v>
      </c>
      <c r="B99" s="5">
        <v>710155.93829665345</v>
      </c>
      <c r="C99" s="5">
        <v>77931.741703346604</v>
      </c>
    </row>
    <row r="100" spans="1:3">
      <c r="A100" s="5">
        <v>76</v>
      </c>
      <c r="B100" s="5">
        <v>685889.10800246825</v>
      </c>
      <c r="C100" s="5">
        <v>-5048.7480024682591</v>
      </c>
    </row>
    <row r="101" spans="1:3">
      <c r="A101" s="5">
        <v>77</v>
      </c>
      <c r="B101" s="5">
        <v>682106.02391177125</v>
      </c>
      <c r="C101" s="5">
        <v>-38448.553911771276</v>
      </c>
    </row>
    <row r="102" spans="1:3">
      <c r="A102" s="5">
        <v>78</v>
      </c>
      <c r="B102" s="5">
        <v>677633.14907671465</v>
      </c>
      <c r="C102" s="5">
        <v>13479.450923285331</v>
      </c>
    </row>
    <row r="103" spans="1:3">
      <c r="A103" s="5">
        <v>79</v>
      </c>
      <c r="B103" s="5">
        <v>732341.91794674413</v>
      </c>
      <c r="C103" s="5">
        <v>44580.252053255914</v>
      </c>
    </row>
    <row r="104" spans="1:3">
      <c r="A104" s="5">
        <v>80</v>
      </c>
      <c r="B104" s="5">
        <v>726884.00804391084</v>
      </c>
      <c r="C104" s="5">
        <v>-90322.668043910875</v>
      </c>
    </row>
    <row r="105" spans="1:3">
      <c r="A105" s="5">
        <v>81</v>
      </c>
      <c r="B105" s="5">
        <v>690428.04226418666</v>
      </c>
      <c r="C105" s="5">
        <v>-69058.462264186703</v>
      </c>
    </row>
    <row r="106" spans="1:3">
      <c r="A106" s="5">
        <v>82</v>
      </c>
      <c r="B106" s="5">
        <v>689890.04764917761</v>
      </c>
      <c r="C106" s="5">
        <v>-7682.0376491775969</v>
      </c>
    </row>
    <row r="107" spans="1:3">
      <c r="A107" s="5">
        <v>83</v>
      </c>
      <c r="B107" s="5">
        <v>715663.78674091864</v>
      </c>
      <c r="C107" s="5">
        <v>11578.073259081342</v>
      </c>
    </row>
    <row r="108" spans="1:3">
      <c r="A108" s="5">
        <v>84</v>
      </c>
      <c r="B108" s="5">
        <v>638455.11752175866</v>
      </c>
      <c r="C108" s="5">
        <v>-69354.337521758629</v>
      </c>
    </row>
    <row r="109" spans="1:3">
      <c r="A109" s="5">
        <v>85</v>
      </c>
      <c r="B109" s="5">
        <v>678730.49794726842</v>
      </c>
      <c r="C109" s="5">
        <v>-104294.20794726838</v>
      </c>
    </row>
    <row r="110" spans="1:3">
      <c r="A110" s="5">
        <v>86</v>
      </c>
      <c r="B110" s="5">
        <v>749125.01592046651</v>
      </c>
      <c r="C110" s="5">
        <v>-137358.29592046654</v>
      </c>
    </row>
    <row r="111" spans="1:3">
      <c r="A111" s="5">
        <v>87</v>
      </c>
      <c r="B111" s="5">
        <v>727378.09081566497</v>
      </c>
      <c r="C111" s="5">
        <v>-112781.77081566502</v>
      </c>
    </row>
    <row r="112" spans="1:3">
      <c r="A112" s="5">
        <v>88</v>
      </c>
      <c r="B112" s="5">
        <v>601231.43983643828</v>
      </c>
      <c r="C112" s="5">
        <v>-150519.5198364383</v>
      </c>
    </row>
    <row r="113" spans="1:3">
      <c r="A113" s="5">
        <v>89</v>
      </c>
      <c r="B113" s="5">
        <v>668359.10407410027</v>
      </c>
      <c r="C113" s="5">
        <v>42854.355925899697</v>
      </c>
    </row>
    <row r="114" spans="1:3">
      <c r="A114" s="5">
        <v>90</v>
      </c>
      <c r="B114" s="5">
        <v>862198.05489334627</v>
      </c>
      <c r="C114" s="5">
        <v>-235026.15489334625</v>
      </c>
    </row>
    <row r="115" spans="1:3">
      <c r="A115" s="5">
        <v>91</v>
      </c>
      <c r="B115" s="5">
        <v>735649.95766911563</v>
      </c>
      <c r="C115" s="5">
        <v>4202.6223308843328</v>
      </c>
    </row>
    <row r="116" spans="1:3">
      <c r="A116" s="5">
        <v>92</v>
      </c>
      <c r="B116" s="5">
        <v>627236.08878094982</v>
      </c>
      <c r="C116" s="5">
        <v>-40928.868780949851</v>
      </c>
    </row>
    <row r="117" spans="1:3">
      <c r="A117" s="5">
        <v>93</v>
      </c>
      <c r="B117" s="5">
        <v>643759.63411374553</v>
      </c>
      <c r="C117" s="5">
        <v>-57822.15411374555</v>
      </c>
    </row>
    <row r="118" spans="1:3">
      <c r="A118" s="5">
        <v>94</v>
      </c>
      <c r="B118" s="5">
        <v>704394.41483936575</v>
      </c>
      <c r="C118" s="5">
        <v>49079.135160634294</v>
      </c>
    </row>
    <row r="119" spans="1:3">
      <c r="A119" s="5">
        <v>95</v>
      </c>
      <c r="B119" s="5">
        <v>744819.24886136584</v>
      </c>
      <c r="C119" s="5">
        <v>93431.071138634114</v>
      </c>
    </row>
    <row r="120" spans="1:3">
      <c r="A120" s="5">
        <v>96</v>
      </c>
      <c r="B120" s="5">
        <v>581082.10084664135</v>
      </c>
      <c r="C120" s="5">
        <v>26816.019153358648</v>
      </c>
    </row>
    <row r="121" spans="1:3">
      <c r="A121" s="5">
        <v>97</v>
      </c>
      <c r="B121" s="5">
        <v>690962.69344593131</v>
      </c>
      <c r="C121" s="5">
        <v>150.92655406869017</v>
      </c>
    </row>
    <row r="122" spans="1:3">
      <c r="A122" s="5">
        <v>98</v>
      </c>
      <c r="B122" s="5">
        <v>728671.76523566921</v>
      </c>
      <c r="C122" s="5">
        <v>6837.6347643308109</v>
      </c>
    </row>
    <row r="123" spans="1:3">
      <c r="A123" s="5">
        <v>99</v>
      </c>
      <c r="B123" s="5">
        <v>643304.35220446019</v>
      </c>
      <c r="C123" s="5">
        <v>-37529.022204460227</v>
      </c>
    </row>
    <row r="124" spans="1:3">
      <c r="A124" s="5">
        <v>100</v>
      </c>
      <c r="B124" s="5">
        <v>678119.2885324969</v>
      </c>
      <c r="C124" s="5">
        <v>-2941.6085324968444</v>
      </c>
    </row>
    <row r="125" spans="1:3">
      <c r="A125" s="5">
        <v>101</v>
      </c>
      <c r="B125" s="5">
        <v>673825.3406164645</v>
      </c>
      <c r="C125" s="5">
        <v>-38643.990616464522</v>
      </c>
    </row>
    <row r="126" spans="1:3">
      <c r="A126" s="5">
        <v>102</v>
      </c>
      <c r="B126" s="5">
        <v>695156.93464512611</v>
      </c>
      <c r="C126" s="5">
        <v>-108529.99464512616</v>
      </c>
    </row>
    <row r="127" spans="1:3">
      <c r="A127" s="5">
        <v>103</v>
      </c>
      <c r="B127" s="5">
        <v>752618.8610901701</v>
      </c>
      <c r="C127" s="5">
        <v>-12516.221090170089</v>
      </c>
    </row>
    <row r="128" spans="1:3">
      <c r="A128" s="5">
        <v>104</v>
      </c>
      <c r="B128" s="5">
        <v>629491.58589766012</v>
      </c>
      <c r="C128" s="5">
        <v>-3977.5458976600785</v>
      </c>
    </row>
    <row r="129" spans="1:3">
      <c r="A129" s="5">
        <v>105</v>
      </c>
      <c r="B129" s="5">
        <v>684120.36791838519</v>
      </c>
      <c r="C129" s="5">
        <v>43106.832081614761</v>
      </c>
    </row>
    <row r="130" spans="1:3">
      <c r="A130" s="5">
        <v>106</v>
      </c>
      <c r="B130" s="5">
        <v>719812.6466898825</v>
      </c>
      <c r="C130" s="5">
        <v>63985.243310117512</v>
      </c>
    </row>
    <row r="131" spans="1:3">
      <c r="A131" s="5">
        <v>107</v>
      </c>
      <c r="B131" s="5">
        <v>697696.75136382284</v>
      </c>
      <c r="C131" s="5">
        <v>97457.088636177126</v>
      </c>
    </row>
    <row r="132" spans="1:3">
      <c r="A132" s="5">
        <v>108</v>
      </c>
      <c r="B132" s="5">
        <v>626883.68665574025</v>
      </c>
      <c r="C132" s="5">
        <v>38711.25334425969</v>
      </c>
    </row>
    <row r="133" spans="1:3">
      <c r="A133" s="5">
        <v>109</v>
      </c>
      <c r="B133" s="5">
        <v>721059.87507199205</v>
      </c>
      <c r="C133" s="5">
        <v>-11581.485071992036</v>
      </c>
    </row>
    <row r="134" spans="1:3">
      <c r="A134" s="5">
        <v>110</v>
      </c>
      <c r="B134" s="5">
        <v>708594.78921550396</v>
      </c>
      <c r="C134" s="5">
        <v>-44432.299215503968</v>
      </c>
    </row>
    <row r="135" spans="1:3">
      <c r="A135" s="5">
        <v>111</v>
      </c>
      <c r="B135" s="5">
        <v>669505.26281116251</v>
      </c>
      <c r="C135" s="5">
        <v>-36011.052811162546</v>
      </c>
    </row>
    <row r="136" spans="1:3">
      <c r="A136" s="5">
        <v>112</v>
      </c>
      <c r="B136" s="5">
        <v>673129.50187817449</v>
      </c>
      <c r="C136" s="5">
        <v>40481.658121825545</v>
      </c>
    </row>
    <row r="137" spans="1:3">
      <c r="A137" s="5">
        <v>113</v>
      </c>
      <c r="B137" s="5">
        <v>691588.72470498295</v>
      </c>
      <c r="C137" s="5">
        <v>86809.245295017026</v>
      </c>
    </row>
    <row r="138" spans="1:3">
      <c r="A138" s="5">
        <v>114</v>
      </c>
      <c r="B138" s="5">
        <v>731518.90096989041</v>
      </c>
      <c r="C138" s="5">
        <v>141861.11903010961</v>
      </c>
    </row>
    <row r="139" spans="1:3">
      <c r="A139" s="5">
        <v>115</v>
      </c>
      <c r="B139" s="5">
        <v>632342.10765665222</v>
      </c>
      <c r="C139" s="5">
        <v>64945.792343347799</v>
      </c>
    </row>
    <row r="140" spans="1:3">
      <c r="A140" s="5">
        <v>116</v>
      </c>
      <c r="B140" s="5">
        <v>616126.15818417352</v>
      </c>
      <c r="C140" s="5">
        <v>101948.63181582652</v>
      </c>
    </row>
    <row r="141" spans="1:3">
      <c r="A141" s="5">
        <v>117</v>
      </c>
      <c r="B141" s="5">
        <v>653808.1417757445</v>
      </c>
      <c r="C141" s="5">
        <v>61134.28822425555</v>
      </c>
    </row>
    <row r="142" spans="1:3">
      <c r="A142" s="5">
        <v>118</v>
      </c>
      <c r="B142" s="5">
        <v>682929.80753574288</v>
      </c>
      <c r="C142" s="5">
        <v>137589.23246425716</v>
      </c>
    </row>
    <row r="143" spans="1:3">
      <c r="A143" s="5">
        <v>119</v>
      </c>
      <c r="B143" s="5">
        <v>651104.2838695636</v>
      </c>
      <c r="C143" s="5">
        <v>33113.036130436347</v>
      </c>
    </row>
    <row r="144" spans="1:3">
      <c r="A144" s="5">
        <v>120</v>
      </c>
      <c r="B144" s="5">
        <v>677837.92904021579</v>
      </c>
      <c r="C144" s="5">
        <v>57642.260959784151</v>
      </c>
    </row>
    <row r="145" spans="1:3">
      <c r="A145" s="5">
        <v>121</v>
      </c>
      <c r="B145" s="5">
        <v>654257.46087411267</v>
      </c>
      <c r="C145" s="5">
        <v>-144772.65087411267</v>
      </c>
    </row>
    <row r="146" spans="1:3">
      <c r="A146" s="5">
        <v>122</v>
      </c>
      <c r="B146" s="5">
        <v>737626.1609816124</v>
      </c>
      <c r="C146" s="5">
        <v>-83309.070981612429</v>
      </c>
    </row>
    <row r="147" spans="1:3">
      <c r="A147" s="5">
        <v>123</v>
      </c>
      <c r="B147" s="5">
        <v>663840.54984826688</v>
      </c>
      <c r="C147" s="5">
        <v>-106353.28984826687</v>
      </c>
    </row>
    <row r="148" spans="1:3">
      <c r="A148" s="5">
        <v>124</v>
      </c>
      <c r="B148" s="5">
        <v>601374.46211543912</v>
      </c>
      <c r="C148" s="5">
        <v>-160099.04211543914</v>
      </c>
    </row>
    <row r="149" spans="1:3">
      <c r="A149" s="5">
        <v>125</v>
      </c>
      <c r="B149" s="5">
        <v>691833.9878954615</v>
      </c>
      <c r="C149" s="5">
        <v>222710.18210453854</v>
      </c>
    </row>
    <row r="150" spans="1:3">
      <c r="A150" s="5">
        <v>126</v>
      </c>
      <c r="B150" s="5">
        <v>656069.45263309905</v>
      </c>
      <c r="C150" s="5">
        <v>186370.21736690099</v>
      </c>
    </row>
    <row r="151" spans="1:3">
      <c r="A151" s="5">
        <v>127</v>
      </c>
      <c r="B151" s="5">
        <v>681136.47085662617</v>
      </c>
      <c r="C151" s="5">
        <v>161021.44914337387</v>
      </c>
    </row>
    <row r="152" spans="1:3">
      <c r="A152" s="5">
        <v>128</v>
      </c>
      <c r="B152" s="5">
        <v>641335.98572916887</v>
      </c>
      <c r="C152" s="5">
        <v>55819.314270831179</v>
      </c>
    </row>
    <row r="153" spans="1:3">
      <c r="A153" s="5">
        <v>129</v>
      </c>
      <c r="B153" s="5">
        <v>701862.83957718674</v>
      </c>
      <c r="C153" s="5">
        <v>147155.46042281331</v>
      </c>
    </row>
    <row r="154" spans="1:3">
      <c r="A154" s="5">
        <v>130</v>
      </c>
      <c r="B154" s="5">
        <v>706463.57411491184</v>
      </c>
      <c r="C154" s="5">
        <v>95366.775885088136</v>
      </c>
    </row>
    <row r="155" spans="1:3">
      <c r="A155" s="5">
        <v>131</v>
      </c>
      <c r="B155" s="5">
        <v>668822.69132716337</v>
      </c>
      <c r="C155" s="5">
        <v>56412.58867283666</v>
      </c>
    </row>
    <row r="156" spans="1:3">
      <c r="A156" s="5">
        <v>132</v>
      </c>
      <c r="B156" s="5">
        <v>702299.9775046811</v>
      </c>
      <c r="C156" s="5">
        <v>109152.74249531887</v>
      </c>
    </row>
    <row r="157" spans="1:3">
      <c r="A157" s="5">
        <v>133</v>
      </c>
      <c r="B157" s="5">
        <v>710435.97745223157</v>
      </c>
      <c r="C157" s="5">
        <v>-183135.84745223157</v>
      </c>
    </row>
    <row r="158" spans="1:3">
      <c r="A158" s="5">
        <v>134</v>
      </c>
      <c r="B158" s="5">
        <v>607780.56543288182</v>
      </c>
      <c r="C158" s="5">
        <v>-206948.9154328818</v>
      </c>
    </row>
    <row r="159" spans="1:3">
      <c r="A159" s="5">
        <v>135</v>
      </c>
      <c r="B159" s="5">
        <v>672123.14976136864</v>
      </c>
      <c r="C159" s="5">
        <v>-78875.899761368637</v>
      </c>
    </row>
    <row r="160" spans="1:3">
      <c r="A160" s="5">
        <v>136</v>
      </c>
      <c r="B160" s="5">
        <v>710628.66142787179</v>
      </c>
      <c r="C160" s="5">
        <v>-181552.71142787184</v>
      </c>
    </row>
    <row r="161" spans="1:3">
      <c r="A161" s="5">
        <v>137</v>
      </c>
      <c r="B161" s="5">
        <v>712660.06333285978</v>
      </c>
      <c r="C161" s="5">
        <v>-79022.033332859748</v>
      </c>
    </row>
    <row r="162" spans="1:3">
      <c r="A162" s="5">
        <v>138</v>
      </c>
      <c r="B162" s="5">
        <v>720729.04554485087</v>
      </c>
      <c r="C162" s="5">
        <v>22619.794455149095</v>
      </c>
    </row>
    <row r="163" spans="1:3">
      <c r="A163" s="5">
        <v>139</v>
      </c>
      <c r="B163" s="5">
        <v>709376.9822333277</v>
      </c>
      <c r="C163" s="5">
        <v>49450.657766672317</v>
      </c>
    </row>
    <row r="164" spans="1:3">
      <c r="A164" s="5">
        <v>140</v>
      </c>
      <c r="B164" s="5">
        <v>654930.02335407212</v>
      </c>
      <c r="C164" s="5">
        <v>-8370.313354072161</v>
      </c>
    </row>
    <row r="165" spans="1:3">
      <c r="A165" s="5">
        <v>141</v>
      </c>
      <c r="B165" s="5">
        <v>670302.0647157334</v>
      </c>
      <c r="C165" s="5">
        <v>45588.465284266626</v>
      </c>
    </row>
    <row r="166" spans="1:3">
      <c r="A166" s="5">
        <v>142</v>
      </c>
      <c r="B166" s="5">
        <v>658112.75886416819</v>
      </c>
      <c r="C166" s="5">
        <v>56984.811135831755</v>
      </c>
    </row>
    <row r="167" spans="1:3">
      <c r="A167" s="5">
        <v>143</v>
      </c>
      <c r="B167" s="5">
        <v>654552.3431697241</v>
      </c>
      <c r="C167" s="5">
        <v>28086.936830275925</v>
      </c>
    </row>
    <row r="168" spans="1:3">
      <c r="A168" s="5">
        <v>144</v>
      </c>
      <c r="B168" s="5">
        <v>667678.02329283056</v>
      </c>
      <c r="C168" s="5">
        <v>27420.486707169446</v>
      </c>
    </row>
    <row r="169" spans="1:3">
      <c r="A169" s="5">
        <v>145</v>
      </c>
      <c r="B169" s="5">
        <v>710887.27705565433</v>
      </c>
      <c r="C169" s="5">
        <v>-133154.70705565438</v>
      </c>
    </row>
    <row r="170" spans="1:3">
      <c r="A170" s="5">
        <v>146</v>
      </c>
      <c r="B170" s="5">
        <v>669192.47078704601</v>
      </c>
      <c r="C170" s="5">
        <v>-132134.14078704605</v>
      </c>
    </row>
    <row r="171" spans="1:3">
      <c r="A171" s="5">
        <v>147</v>
      </c>
      <c r="B171" s="5">
        <v>674393.80945441127</v>
      </c>
      <c r="C171" s="5">
        <v>-72824.939454411273</v>
      </c>
    </row>
    <row r="172" spans="1:3">
      <c r="A172" s="5">
        <v>148</v>
      </c>
      <c r="B172" s="5">
        <v>689238.44019044167</v>
      </c>
      <c r="C172" s="5">
        <v>-118273.60019044171</v>
      </c>
    </row>
    <row r="173" spans="1:3">
      <c r="A173" s="5">
        <v>149</v>
      </c>
      <c r="B173" s="5">
        <v>670611.64108110522</v>
      </c>
      <c r="C173" s="5">
        <v>-56586.731081105187</v>
      </c>
    </row>
    <row r="174" spans="1:3">
      <c r="A174" s="5">
        <v>150</v>
      </c>
      <c r="B174" s="5">
        <v>653030.42086610873</v>
      </c>
      <c r="C174" s="5">
        <v>59837.929133891244</v>
      </c>
    </row>
    <row r="175" spans="1:3">
      <c r="A175" s="5">
        <v>151</v>
      </c>
      <c r="B175" s="5">
        <v>661066.60761805496</v>
      </c>
      <c r="C175" s="5">
        <v>35677.542381945066</v>
      </c>
    </row>
    <row r="176" spans="1:3">
      <c r="A176" s="5">
        <v>152</v>
      </c>
      <c r="B176" s="5">
        <v>713798.17227518361</v>
      </c>
      <c r="C176" s="5">
        <v>12049.817724816385</v>
      </c>
    </row>
    <row r="177" spans="1:3">
      <c r="A177" s="5">
        <v>153</v>
      </c>
      <c r="B177" s="5">
        <v>721869.56090729497</v>
      </c>
      <c r="C177" s="5">
        <v>63158.689092705026</v>
      </c>
    </row>
    <row r="178" spans="1:3">
      <c r="A178" s="5">
        <v>154</v>
      </c>
      <c r="B178" s="5">
        <v>697868.22476920031</v>
      </c>
      <c r="C178" s="5">
        <v>624.44523079972714</v>
      </c>
    </row>
    <row r="179" spans="1:3">
      <c r="A179" s="5">
        <v>155</v>
      </c>
      <c r="B179" s="5">
        <v>691605.33539253811</v>
      </c>
      <c r="C179" s="5">
        <v>-5775.0953925381182</v>
      </c>
    </row>
    <row r="180" spans="1:3">
      <c r="A180" s="5">
        <v>156</v>
      </c>
      <c r="B180" s="5">
        <v>651706.25092741335</v>
      </c>
      <c r="C180" s="5">
        <v>50612.689072586596</v>
      </c>
    </row>
    <row r="181" spans="1:3">
      <c r="A181" s="5">
        <v>157</v>
      </c>
      <c r="B181" s="5">
        <v>745801.89880477567</v>
      </c>
      <c r="C181" s="5">
        <v>-45723.578804775723</v>
      </c>
    </row>
    <row r="182" spans="1:3">
      <c r="A182" s="5">
        <v>158</v>
      </c>
      <c r="B182" s="5">
        <v>649927.92775435618</v>
      </c>
      <c r="C182" s="5">
        <v>-47925.607754356228</v>
      </c>
    </row>
    <row r="183" spans="1:3">
      <c r="A183" s="5">
        <v>159</v>
      </c>
      <c r="B183" s="5">
        <v>681988.85467724735</v>
      </c>
      <c r="C183" s="5">
        <v>42227.2153227526</v>
      </c>
    </row>
    <row r="184" spans="1:3">
      <c r="A184" s="5">
        <v>160</v>
      </c>
      <c r="B184" s="5">
        <v>610299.70397514757</v>
      </c>
      <c r="C184" s="5">
        <v>10673.32602485246</v>
      </c>
    </row>
    <row r="185" spans="1:3">
      <c r="A185" s="5">
        <v>161</v>
      </c>
      <c r="B185" s="5">
        <v>649034.20887662657</v>
      </c>
      <c r="C185" s="5">
        <v>1445.8511233734898</v>
      </c>
    </row>
    <row r="186" spans="1:3">
      <c r="A186" s="5">
        <v>162</v>
      </c>
      <c r="B186" s="5">
        <v>663931.52530626161</v>
      </c>
      <c r="C186" s="5">
        <v>114367.35469373839</v>
      </c>
    </row>
    <row r="187" spans="1:3">
      <c r="A187" s="5">
        <v>163</v>
      </c>
      <c r="B187" s="5">
        <v>682468.30726650089</v>
      </c>
      <c r="C187" s="5">
        <v>-5371.5972665009322</v>
      </c>
    </row>
    <row r="188" spans="1:3">
      <c r="A188" s="5">
        <v>164</v>
      </c>
      <c r="B188" s="5">
        <v>703183.36794207199</v>
      </c>
      <c r="C188" s="5">
        <v>-11174.727942071971</v>
      </c>
    </row>
    <row r="189" spans="1:3">
      <c r="A189" s="5">
        <v>165</v>
      </c>
      <c r="B189" s="5">
        <v>714427.33400996681</v>
      </c>
      <c r="C189" s="5">
        <v>111370.57599003322</v>
      </c>
    </row>
    <row r="190" spans="1:3">
      <c r="A190" s="5">
        <v>166</v>
      </c>
      <c r="B190" s="5">
        <v>635958.38211193902</v>
      </c>
      <c r="C190" s="5">
        <v>70327.137888060999</v>
      </c>
    </row>
    <row r="191" spans="1:3">
      <c r="A191" s="5">
        <v>167</v>
      </c>
      <c r="B191" s="5">
        <v>625307.43888551812</v>
      </c>
      <c r="C191" s="5">
        <v>40227.261114481837</v>
      </c>
    </row>
    <row r="192" spans="1:3">
      <c r="A192" s="5">
        <v>168</v>
      </c>
      <c r="B192" s="5">
        <v>727804.49568350834</v>
      </c>
      <c r="C192" s="5">
        <v>92924.794316491694</v>
      </c>
    </row>
    <row r="193" spans="1:3">
      <c r="A193" s="5">
        <v>169</v>
      </c>
      <c r="B193" s="5">
        <v>692937.04402789311</v>
      </c>
      <c r="C193" s="5">
        <v>46894.685972106876</v>
      </c>
    </row>
    <row r="194" spans="1:3">
      <c r="A194" s="5">
        <v>170</v>
      </c>
      <c r="B194" s="5">
        <v>630700.84395167872</v>
      </c>
      <c r="C194" s="5">
        <v>-37063.703951678704</v>
      </c>
    </row>
    <row r="195" spans="1:3">
      <c r="A195" s="5">
        <v>171</v>
      </c>
      <c r="B195" s="5">
        <v>669013.18184021628</v>
      </c>
      <c r="C195" s="5">
        <v>100689.57815978373</v>
      </c>
    </row>
    <row r="196" spans="1:3">
      <c r="A196" s="5">
        <v>172</v>
      </c>
      <c r="B196" s="5">
        <v>638733.66597460734</v>
      </c>
      <c r="C196" s="5">
        <v>40997.904025392607</v>
      </c>
    </row>
    <row r="197" spans="1:3">
      <c r="A197" s="5">
        <v>173</v>
      </c>
      <c r="B197" s="5">
        <v>699706.13345992344</v>
      </c>
      <c r="C197" s="5">
        <v>80638.046540076612</v>
      </c>
    </row>
    <row r="198" spans="1:3">
      <c r="A198" s="5">
        <v>174</v>
      </c>
      <c r="B198" s="5">
        <v>653724.74760591611</v>
      </c>
      <c r="C198" s="5">
        <v>67639.362394083873</v>
      </c>
    </row>
    <row r="199" spans="1:3">
      <c r="A199" s="5">
        <v>175</v>
      </c>
      <c r="B199" s="5">
        <v>705673.9701749481</v>
      </c>
      <c r="C199" s="5">
        <v>52464.319825051934</v>
      </c>
    </row>
    <row r="200" spans="1:3">
      <c r="A200" s="5">
        <v>176</v>
      </c>
      <c r="B200" s="5">
        <v>695034.16462749057</v>
      </c>
      <c r="C200" s="5">
        <v>109229.83537250943</v>
      </c>
    </row>
    <row r="201" spans="1:3">
      <c r="A201" s="5">
        <v>177</v>
      </c>
      <c r="B201" s="5">
        <v>704511.09427156439</v>
      </c>
      <c r="C201" s="5">
        <v>183026.65572843561</v>
      </c>
    </row>
    <row r="202" spans="1:3">
      <c r="A202" s="5">
        <v>178</v>
      </c>
      <c r="B202" s="5">
        <v>623364.11621607933</v>
      </c>
      <c r="C202" s="5">
        <v>160217.88378392067</v>
      </c>
    </row>
    <row r="203" spans="1:3">
      <c r="A203" s="5">
        <v>179</v>
      </c>
      <c r="B203" s="5">
        <v>647099.87301507022</v>
      </c>
      <c r="C203" s="5">
        <v>134855.6469849298</v>
      </c>
    </row>
    <row r="204" spans="1:3">
      <c r="A204" s="5">
        <v>180</v>
      </c>
      <c r="B204" s="5">
        <v>720243.26811687439</v>
      </c>
      <c r="C204" s="5">
        <v>177787.77188312565</v>
      </c>
    </row>
    <row r="205" spans="1:3">
      <c r="A205" s="5">
        <v>181</v>
      </c>
      <c r="B205" s="5">
        <v>706634.32346467802</v>
      </c>
      <c r="C205" s="5">
        <v>148706.95653532201</v>
      </c>
    </row>
    <row r="206" spans="1:3">
      <c r="A206" s="5">
        <v>182</v>
      </c>
      <c r="B206" s="5">
        <v>657053.84882827743</v>
      </c>
      <c r="C206" s="5">
        <v>94340.03117172257</v>
      </c>
    </row>
    <row r="207" spans="1:3">
      <c r="A207" s="5">
        <v>183</v>
      </c>
      <c r="B207" s="5">
        <v>694962.37664319749</v>
      </c>
      <c r="C207" s="5">
        <v>66114.703356802464</v>
      </c>
    </row>
    <row r="208" spans="1:3">
      <c r="A208" s="5">
        <v>184</v>
      </c>
      <c r="B208" s="5">
        <v>684183.85055890062</v>
      </c>
      <c r="C208" s="5">
        <v>135476.73944109934</v>
      </c>
    </row>
    <row r="209" spans="1:3">
      <c r="A209" s="5">
        <v>185</v>
      </c>
      <c r="B209" s="5">
        <v>713982.44442828</v>
      </c>
      <c r="C209" s="5">
        <v>-32126.88442827994</v>
      </c>
    </row>
    <row r="210" spans="1:3">
      <c r="A210" s="5">
        <v>186</v>
      </c>
      <c r="B210" s="5">
        <v>682478.06072150124</v>
      </c>
      <c r="C210" s="5">
        <v>-4166.8907215012005</v>
      </c>
    </row>
    <row r="211" spans="1:3">
      <c r="A211" s="5">
        <v>187</v>
      </c>
      <c r="B211" s="5">
        <v>663064.55389464647</v>
      </c>
      <c r="C211" s="5">
        <v>102842.39610535349</v>
      </c>
    </row>
    <row r="212" spans="1:3">
      <c r="A212" s="5">
        <v>188</v>
      </c>
      <c r="B212" s="5">
        <v>715778.05975299713</v>
      </c>
      <c r="C212" s="5">
        <v>-3231.6797529971227</v>
      </c>
    </row>
    <row r="213" spans="1:3">
      <c r="A213" s="5">
        <v>189</v>
      </c>
      <c r="B213" s="5">
        <v>713344.16811109474</v>
      </c>
      <c r="C213" s="5">
        <v>-87350.338111094781</v>
      </c>
    </row>
    <row r="214" spans="1:3">
      <c r="A214" s="5">
        <v>190</v>
      </c>
      <c r="B214" s="5">
        <v>679583.39286596817</v>
      </c>
      <c r="C214" s="5">
        <v>-128620.46286596812</v>
      </c>
    </row>
    <row r="215" spans="1:3">
      <c r="A215" s="5">
        <v>191</v>
      </c>
      <c r="B215" s="5">
        <v>641074.85720249976</v>
      </c>
      <c r="C215" s="5">
        <v>-197799.26720249973</v>
      </c>
    </row>
    <row r="216" spans="1:3">
      <c r="A216" s="5">
        <v>192</v>
      </c>
      <c r="B216" s="5">
        <v>677831.9662292985</v>
      </c>
      <c r="C216" s="5">
        <v>-123819.89622929855</v>
      </c>
    </row>
    <row r="217" spans="1:3">
      <c r="A217" s="5">
        <v>193</v>
      </c>
      <c r="B217" s="5">
        <v>734969.66483071703</v>
      </c>
      <c r="C217" s="5">
        <v>-91540.814830717049</v>
      </c>
    </row>
    <row r="218" spans="1:3">
      <c r="A218" s="5">
        <v>194</v>
      </c>
      <c r="B218" s="5">
        <v>669669.83639247855</v>
      </c>
      <c r="C218" s="5">
        <v>-57745.566392478533</v>
      </c>
    </row>
    <row r="219" spans="1:3">
      <c r="A219" s="5">
        <v>195</v>
      </c>
      <c r="B219" s="5">
        <v>646429.24844865885</v>
      </c>
      <c r="C219" s="5">
        <v>-87007.228448658832</v>
      </c>
    </row>
    <row r="220" spans="1:3">
      <c r="A220" s="5">
        <v>196</v>
      </c>
      <c r="B220" s="5">
        <v>649490.42779905617</v>
      </c>
      <c r="C220" s="5">
        <v>-200025.36779905617</v>
      </c>
    </row>
    <row r="221" spans="1:3">
      <c r="A221" s="5">
        <v>197</v>
      </c>
      <c r="B221" s="5">
        <v>713790.42062099115</v>
      </c>
      <c r="C221" s="5">
        <v>-22342.990620991099</v>
      </c>
    </row>
    <row r="222" spans="1:3">
      <c r="A222" s="5">
        <v>198</v>
      </c>
      <c r="B222" s="5">
        <v>675780.43983746483</v>
      </c>
      <c r="C222" s="5">
        <v>-101713.82983746484</v>
      </c>
    </row>
    <row r="223" spans="1:3">
      <c r="A223" s="5">
        <v>199</v>
      </c>
      <c r="B223" s="5">
        <v>676795.18248106143</v>
      </c>
      <c r="C223" s="5">
        <v>-97845.342481061467</v>
      </c>
    </row>
    <row r="224" spans="1:3">
      <c r="A224" s="5">
        <v>200</v>
      </c>
      <c r="B224" s="5">
        <v>691515.80804576632</v>
      </c>
      <c r="C224" s="5">
        <v>44270.831954233698</v>
      </c>
    </row>
    <row r="225" spans="1:3">
      <c r="A225" s="5">
        <v>201</v>
      </c>
      <c r="B225" s="5">
        <v>608294.41066367598</v>
      </c>
      <c r="C225" s="5">
        <v>-9389.5106636759592</v>
      </c>
    </row>
    <row r="226" spans="1:3">
      <c r="A226" s="5">
        <v>202</v>
      </c>
      <c r="B226" s="5">
        <v>727122.6695508738</v>
      </c>
      <c r="C226" s="5">
        <v>60592.840449126204</v>
      </c>
    </row>
    <row r="227" spans="1:3">
      <c r="A227" s="5">
        <v>203</v>
      </c>
      <c r="B227" s="5">
        <v>635745.27550890716</v>
      </c>
      <c r="C227" s="5">
        <v>-28660.355508907116</v>
      </c>
    </row>
    <row r="228" spans="1:3">
      <c r="A228" s="5">
        <v>204</v>
      </c>
      <c r="B228" s="5">
        <v>697292.23853034712</v>
      </c>
      <c r="C228" s="5">
        <v>-46496.748530347133</v>
      </c>
    </row>
    <row r="229" spans="1:3">
      <c r="A229" s="5">
        <v>205</v>
      </c>
      <c r="B229" s="5">
        <v>756890.23550773016</v>
      </c>
      <c r="C229" s="5">
        <v>68170.284492269857</v>
      </c>
    </row>
    <row r="230" spans="1:3">
      <c r="A230" s="5">
        <v>206</v>
      </c>
      <c r="B230" s="5">
        <v>676415.13846809976</v>
      </c>
      <c r="C230" s="5">
        <v>119049.33153190021</v>
      </c>
    </row>
    <row r="231" spans="1:3">
      <c r="A231" s="5">
        <v>207</v>
      </c>
      <c r="B231" s="5">
        <v>641665.75046864618</v>
      </c>
      <c r="C231" s="5">
        <v>30202.839531353791</v>
      </c>
    </row>
    <row r="232" spans="1:3">
      <c r="A232" s="5">
        <v>208</v>
      </c>
      <c r="B232" s="5">
        <v>680914.84595228394</v>
      </c>
      <c r="C232" s="5">
        <v>-4997.2159522839356</v>
      </c>
    </row>
    <row r="233" spans="1:3">
      <c r="A233" s="5">
        <v>209</v>
      </c>
      <c r="B233" s="5">
        <v>695914.21163161704</v>
      </c>
      <c r="C233" s="5">
        <v>114532.31836838298</v>
      </c>
    </row>
    <row r="234" spans="1:3">
      <c r="A234" s="5">
        <v>210</v>
      </c>
      <c r="B234" s="5">
        <v>694833.47344861843</v>
      </c>
      <c r="C234" s="5">
        <v>-3545.2834486184875</v>
      </c>
    </row>
    <row r="235" spans="1:3">
      <c r="A235" s="5">
        <v>211</v>
      </c>
      <c r="B235" s="5">
        <v>790707.99818862299</v>
      </c>
      <c r="C235" s="5">
        <v>156125.54181137704</v>
      </c>
    </row>
    <row r="236" spans="1:3">
      <c r="A236" s="5">
        <v>212</v>
      </c>
      <c r="B236" s="5">
        <v>665990.6116905082</v>
      </c>
      <c r="C236" s="5">
        <v>95972.61830949178</v>
      </c>
    </row>
    <row r="237" spans="1:3">
      <c r="A237" s="5">
        <v>213</v>
      </c>
      <c r="B237" s="5">
        <v>669146.02474915131</v>
      </c>
      <c r="C237" s="5">
        <v>143006.57525084866</v>
      </c>
    </row>
    <row r="238" spans="1:3">
      <c r="A238" s="5">
        <v>214</v>
      </c>
      <c r="B238" s="5">
        <v>649835.01438281348</v>
      </c>
      <c r="C238" s="5">
        <v>155140.48561718652</v>
      </c>
    </row>
    <row r="239" spans="1:3">
      <c r="A239" s="5">
        <v>215</v>
      </c>
      <c r="B239" s="5">
        <v>635943.98618272447</v>
      </c>
      <c r="C239" s="5">
        <v>116377.7338172755</v>
      </c>
    </row>
    <row r="240" spans="1:3">
      <c r="A240" s="5">
        <v>216</v>
      </c>
      <c r="B240" s="5">
        <v>661700.24146102602</v>
      </c>
      <c r="C240" s="5">
        <v>175207.99853897397</v>
      </c>
    </row>
    <row r="241" spans="1:3">
      <c r="A241" s="5">
        <v>217</v>
      </c>
      <c r="B241" s="5">
        <v>708102.51658277819</v>
      </c>
      <c r="C241" s="5">
        <v>-33813.416582778213</v>
      </c>
    </row>
    <row r="242" spans="1:3">
      <c r="A242" s="5">
        <v>218</v>
      </c>
      <c r="B242" s="5">
        <v>633155.92486809066</v>
      </c>
      <c r="C242" s="5">
        <v>-10263.504868090618</v>
      </c>
    </row>
    <row r="243" spans="1:3">
      <c r="A243" s="5">
        <v>219</v>
      </c>
      <c r="B243" s="5">
        <v>685965.13384166313</v>
      </c>
      <c r="C243" s="5">
        <v>-12616.573841663077</v>
      </c>
    </row>
    <row r="244" spans="1:3">
      <c r="A244" s="5">
        <v>220</v>
      </c>
      <c r="B244" s="5">
        <v>595812.79930264573</v>
      </c>
      <c r="C244" s="5">
        <v>10465.50069735432</v>
      </c>
    </row>
    <row r="245" spans="1:3">
      <c r="A245" s="5">
        <v>221</v>
      </c>
      <c r="B245" s="5">
        <v>674427.94654691254</v>
      </c>
      <c r="C245" s="5">
        <v>37791.863453087513</v>
      </c>
    </row>
    <row r="246" spans="1:3">
      <c r="A246" s="5">
        <v>222</v>
      </c>
      <c r="B246" s="5">
        <v>618690.37983612448</v>
      </c>
      <c r="C246" s="5">
        <v>53980.160163875553</v>
      </c>
    </row>
    <row r="247" spans="1:3">
      <c r="A247" s="5">
        <v>223</v>
      </c>
      <c r="B247" s="5">
        <v>703379.54442124953</v>
      </c>
      <c r="C247" s="5">
        <v>29288.375578750507</v>
      </c>
    </row>
    <row r="248" spans="1:3">
      <c r="A248" s="5">
        <v>224</v>
      </c>
      <c r="B248" s="5">
        <v>717388.42331996735</v>
      </c>
      <c r="C248" s="5">
        <v>6142.9766800326761</v>
      </c>
    </row>
    <row r="249" spans="1:3">
      <c r="A249" s="5">
        <v>225</v>
      </c>
      <c r="B249" s="5">
        <v>706040.55527183937</v>
      </c>
      <c r="C249" s="5">
        <v>-64475.955271839397</v>
      </c>
    </row>
    <row r="250" spans="1:3">
      <c r="A250" s="5">
        <v>226</v>
      </c>
      <c r="B250" s="5">
        <v>682644.38055458595</v>
      </c>
      <c r="C250" s="5">
        <v>-146098.89055458596</v>
      </c>
    </row>
    <row r="251" spans="1:3">
      <c r="A251" s="5">
        <v>227</v>
      </c>
      <c r="B251" s="5">
        <v>652204.31600503006</v>
      </c>
      <c r="C251" s="5">
        <v>-124522.75600503001</v>
      </c>
    </row>
    <row r="252" spans="1:3">
      <c r="A252" s="5">
        <v>228</v>
      </c>
      <c r="B252" s="5">
        <v>644557.92672104586</v>
      </c>
      <c r="C252" s="5">
        <v>-114958.98672104592</v>
      </c>
    </row>
    <row r="253" spans="1:3">
      <c r="A253" s="5">
        <v>229</v>
      </c>
      <c r="B253" s="5">
        <v>640262.10477872519</v>
      </c>
      <c r="C253" s="5">
        <v>-69298.794778725132</v>
      </c>
    </row>
    <row r="254" spans="1:3">
      <c r="A254" s="5">
        <v>230</v>
      </c>
      <c r="B254" s="5">
        <v>802986.72490819369</v>
      </c>
      <c r="C254" s="5">
        <v>67950.675091806334</v>
      </c>
    </row>
    <row r="255" spans="1:3">
      <c r="A255" s="5">
        <v>231</v>
      </c>
      <c r="B255" s="5">
        <v>631423.77088813565</v>
      </c>
      <c r="C255" s="5">
        <v>-34454.500888135633</v>
      </c>
    </row>
    <row r="256" spans="1:3">
      <c r="A256" s="5">
        <v>232</v>
      </c>
      <c r="B256" s="5">
        <v>615758.89162317745</v>
      </c>
      <c r="C256" s="5">
        <v>31753.958376822527</v>
      </c>
    </row>
    <row r="257" spans="1:3">
      <c r="A257" s="5">
        <v>233</v>
      </c>
      <c r="B257" s="5">
        <v>661382.57270940952</v>
      </c>
      <c r="C257" s="5">
        <v>-3310.4327094095061</v>
      </c>
    </row>
    <row r="258" spans="1:3">
      <c r="A258" s="5">
        <v>234</v>
      </c>
      <c r="B258" s="5">
        <v>692067.34675985877</v>
      </c>
      <c r="C258" s="5">
        <v>31237.763240141212</v>
      </c>
    </row>
    <row r="259" spans="1:3">
      <c r="A259" s="5">
        <v>235</v>
      </c>
      <c r="B259" s="5">
        <v>694051.9405991463</v>
      </c>
      <c r="C259" s="5">
        <v>-53385.410599146271</v>
      </c>
    </row>
    <row r="260" spans="1:3">
      <c r="A260" s="5">
        <v>236</v>
      </c>
      <c r="B260" s="5">
        <v>662878.00309594965</v>
      </c>
      <c r="C260" s="5">
        <v>7751.4769040503306</v>
      </c>
    </row>
    <row r="261" spans="1:3">
      <c r="A261" s="5">
        <v>237</v>
      </c>
      <c r="B261" s="5">
        <v>659792.80213585717</v>
      </c>
      <c r="C261" s="5">
        <v>61286.547864142805</v>
      </c>
    </row>
    <row r="262" spans="1:3">
      <c r="A262" s="5">
        <v>238</v>
      </c>
      <c r="B262" s="5">
        <v>716155.31402227969</v>
      </c>
      <c r="C262" s="5">
        <v>94199.705977720325</v>
      </c>
    </row>
    <row r="263" spans="1:3">
      <c r="A263" s="5">
        <v>239</v>
      </c>
      <c r="B263" s="5">
        <v>686550.17077565868</v>
      </c>
      <c r="C263" s="5">
        <v>75369.079224341316</v>
      </c>
    </row>
    <row r="264" spans="1:3">
      <c r="A264" s="5">
        <v>240</v>
      </c>
      <c r="B264" s="5">
        <v>616674.65160554764</v>
      </c>
      <c r="C264" s="5">
        <v>120395.52839445241</v>
      </c>
    </row>
    <row r="265" spans="1:3">
      <c r="A265" s="5">
        <v>241</v>
      </c>
      <c r="B265" s="5">
        <v>709634.91639700532</v>
      </c>
      <c r="C265" s="5">
        <v>67358.013602994732</v>
      </c>
    </row>
    <row r="266" spans="1:3">
      <c r="A266" s="5">
        <v>242</v>
      </c>
      <c r="B266" s="5">
        <v>671050.16323256248</v>
      </c>
      <c r="C266" s="5">
        <v>5287.2467674375512</v>
      </c>
    </row>
    <row r="267" spans="1:3">
      <c r="A267" s="5">
        <v>243</v>
      </c>
      <c r="B267" s="5">
        <v>711550.511995679</v>
      </c>
      <c r="C267" s="5">
        <v>116669.15800432104</v>
      </c>
    </row>
    <row r="268" spans="1:3">
      <c r="A268" s="5">
        <v>244</v>
      </c>
      <c r="B268" s="5">
        <v>674808.30999617337</v>
      </c>
      <c r="C268" s="5">
        <v>88351.610003826674</v>
      </c>
    </row>
    <row r="269" spans="1:3">
      <c r="A269" s="5">
        <v>245</v>
      </c>
      <c r="B269" s="5">
        <v>724631.55621991912</v>
      </c>
      <c r="C269" s="5">
        <v>77370.123780080932</v>
      </c>
    </row>
    <row r="270" spans="1:3">
      <c r="A270" s="5">
        <v>246</v>
      </c>
      <c r="B270" s="5">
        <v>663126.39676215965</v>
      </c>
      <c r="C270" s="5">
        <v>87344.943237840314</v>
      </c>
    </row>
    <row r="271" spans="1:3">
      <c r="A271" s="5">
        <v>247</v>
      </c>
      <c r="B271" s="5">
        <v>682993.75868283038</v>
      </c>
      <c r="C271" s="5">
        <v>-3762.8986828303896</v>
      </c>
    </row>
    <row r="272" spans="1:3">
      <c r="A272" s="5">
        <v>248</v>
      </c>
      <c r="B272" s="5">
        <v>606640.26302797056</v>
      </c>
      <c r="C272" s="5">
        <v>73248.476972029428</v>
      </c>
    </row>
    <row r="273" spans="1:3">
      <c r="A273" s="5">
        <v>249</v>
      </c>
      <c r="B273" s="5">
        <v>647927.38339586509</v>
      </c>
      <c r="C273" s="5">
        <v>-41143.713395865052</v>
      </c>
    </row>
    <row r="274" spans="1:3">
      <c r="A274" s="5">
        <v>250</v>
      </c>
      <c r="B274" s="5">
        <v>716092.7045076486</v>
      </c>
      <c r="C274" s="5">
        <v>-73341.284507648554</v>
      </c>
    </row>
    <row r="275" spans="1:3">
      <c r="A275" s="5">
        <v>251</v>
      </c>
      <c r="B275" s="5">
        <v>642471.96509616508</v>
      </c>
      <c r="C275" s="5">
        <v>5481.8149038349511</v>
      </c>
    </row>
    <row r="276" spans="1:3">
      <c r="A276" s="5">
        <v>252</v>
      </c>
      <c r="B276" s="5">
        <v>768370.35018370138</v>
      </c>
      <c r="C276" s="5">
        <v>-38929.900183701422</v>
      </c>
    </row>
    <row r="277" spans="1:3">
      <c r="A277" s="5">
        <v>253</v>
      </c>
      <c r="B277" s="5">
        <v>734980.44048187463</v>
      </c>
      <c r="C277" s="5">
        <v>29968.559518125374</v>
      </c>
    </row>
    <row r="278" spans="1:3">
      <c r="A278" s="5">
        <v>254</v>
      </c>
      <c r="B278" s="5">
        <v>696180.23818153958</v>
      </c>
      <c r="C278" s="5">
        <v>102866.70181846037</v>
      </c>
    </row>
    <row r="279" spans="1:3">
      <c r="A279" s="5">
        <v>255</v>
      </c>
      <c r="B279" s="5">
        <v>721374.4559393836</v>
      </c>
      <c r="C279" s="5">
        <v>-1294.915939383558</v>
      </c>
    </row>
    <row r="280" spans="1:3">
      <c r="A280" s="5">
        <v>256</v>
      </c>
      <c r="B280" s="5">
        <v>638059.8044536981</v>
      </c>
      <c r="C280" s="5">
        <v>-25669.664453698089</v>
      </c>
    </row>
    <row r="281" spans="1:3">
      <c r="A281" s="5">
        <v>257</v>
      </c>
      <c r="B281" s="5">
        <v>699780.22138557024</v>
      </c>
      <c r="C281" s="5">
        <v>140327.89861442975</v>
      </c>
    </row>
    <row r="282" spans="1:3">
      <c r="A282" s="5">
        <v>258</v>
      </c>
      <c r="B282" s="5">
        <v>621833.18580882833</v>
      </c>
      <c r="C282" s="5">
        <v>76054.904191171634</v>
      </c>
    </row>
    <row r="283" spans="1:3">
      <c r="A283" s="5">
        <v>259</v>
      </c>
      <c r="B283" s="5">
        <v>654881.87365591538</v>
      </c>
      <c r="C283" s="5">
        <v>91233.716344084591</v>
      </c>
    </row>
    <row r="284" spans="1:3">
      <c r="A284" s="5">
        <v>260</v>
      </c>
      <c r="B284" s="5">
        <v>642548.39555467223</v>
      </c>
      <c r="C284" s="5">
        <v>133561.92444532772</v>
      </c>
    </row>
    <row r="285" spans="1:3">
      <c r="A285" s="5">
        <v>261</v>
      </c>
      <c r="B285" s="5">
        <v>591697.43757358496</v>
      </c>
      <c r="C285" s="5">
        <v>-62844.817573584965</v>
      </c>
    </row>
    <row r="286" spans="1:3">
      <c r="A286" s="5">
        <v>262</v>
      </c>
      <c r="B286" s="5">
        <v>652962.82814521098</v>
      </c>
      <c r="C286" s="5">
        <v>-47211.498145211022</v>
      </c>
    </row>
    <row r="287" spans="1:3">
      <c r="A287" s="5">
        <v>263</v>
      </c>
      <c r="B287" s="5">
        <v>670345.16732036392</v>
      </c>
      <c r="C287" s="5">
        <v>7295.4826796361012</v>
      </c>
    </row>
    <row r="288" spans="1:3">
      <c r="A288" s="5">
        <v>264</v>
      </c>
      <c r="B288" s="5">
        <v>685758.41596461402</v>
      </c>
      <c r="C288" s="5">
        <v>-49145.185964614036</v>
      </c>
    </row>
    <row r="289" spans="1:3">
      <c r="A289" s="5">
        <v>265</v>
      </c>
      <c r="B289" s="5">
        <v>686383.76575956075</v>
      </c>
      <c r="C289" s="5">
        <v>22601.424240439199</v>
      </c>
    </row>
    <row r="290" spans="1:3">
      <c r="A290" s="5">
        <v>266</v>
      </c>
      <c r="B290" s="5">
        <v>717204.32153289719</v>
      </c>
      <c r="C290" s="5">
        <v>50588.618467102759</v>
      </c>
    </row>
    <row r="291" spans="1:3">
      <c r="A291" s="5">
        <v>267</v>
      </c>
      <c r="B291" s="5">
        <v>681316.3986760542</v>
      </c>
      <c r="C291" s="5">
        <v>64264.111323945806</v>
      </c>
    </row>
    <row r="292" spans="1:3">
      <c r="A292" s="5">
        <v>268</v>
      </c>
      <c r="B292" s="5">
        <v>704997.06336132041</v>
      </c>
      <c r="C292" s="5">
        <v>57331.246638679644</v>
      </c>
    </row>
    <row r="293" spans="1:3">
      <c r="A293" s="5">
        <v>269</v>
      </c>
      <c r="B293" s="5">
        <v>664600.3610293977</v>
      </c>
      <c r="C293" s="5">
        <v>-3966.3710293977056</v>
      </c>
    </row>
    <row r="294" spans="1:3">
      <c r="A294" s="5">
        <v>270</v>
      </c>
      <c r="B294" s="5">
        <v>611706.07552148798</v>
      </c>
      <c r="C294" s="5">
        <v>127668.48447851208</v>
      </c>
    </row>
    <row r="295" spans="1:3">
      <c r="A295" s="5">
        <v>271</v>
      </c>
      <c r="B295" s="5">
        <v>692801.00675596669</v>
      </c>
      <c r="C295" s="5">
        <v>106955.45324403327</v>
      </c>
    </row>
    <row r="296" spans="1:3">
      <c r="A296" s="5">
        <v>272</v>
      </c>
      <c r="B296" s="5">
        <v>623269.58436728758</v>
      </c>
      <c r="C296" s="5">
        <v>-29926.584367287578</v>
      </c>
    </row>
    <row r="297" spans="1:3">
      <c r="A297" s="5">
        <v>273</v>
      </c>
      <c r="B297" s="5">
        <v>668389.40793101187</v>
      </c>
      <c r="C297" s="5">
        <v>-23349.437931011897</v>
      </c>
    </row>
    <row r="298" spans="1:3">
      <c r="A298" s="5">
        <v>274</v>
      </c>
      <c r="B298" s="5">
        <v>598178.16121050634</v>
      </c>
      <c r="C298" s="5">
        <v>-36580.831210506381</v>
      </c>
    </row>
    <row r="299" spans="1:3">
      <c r="A299" s="5">
        <v>275</v>
      </c>
      <c r="B299" s="5">
        <v>662248.86265691975</v>
      </c>
      <c r="C299" s="5">
        <v>-26411.122656919761</v>
      </c>
    </row>
    <row r="300" spans="1:3">
      <c r="A300" s="5">
        <v>276</v>
      </c>
      <c r="B300" s="5">
        <v>642334.92692383472</v>
      </c>
      <c r="C300" s="5">
        <v>44402.943076165277</v>
      </c>
    </row>
    <row r="301" spans="1:3">
      <c r="A301" s="5">
        <v>277</v>
      </c>
      <c r="B301" s="5">
        <v>692351.26174253295</v>
      </c>
      <c r="C301" s="5">
        <v>-19274.921742532984</v>
      </c>
    </row>
    <row r="302" spans="1:3">
      <c r="A302" s="5">
        <v>278</v>
      </c>
      <c r="B302" s="5">
        <v>639214.56667508371</v>
      </c>
      <c r="C302" s="5">
        <v>99333.85332491633</v>
      </c>
    </row>
    <row r="303" spans="1:3">
      <c r="A303" s="5">
        <v>279</v>
      </c>
      <c r="B303" s="5">
        <v>664294.74567413528</v>
      </c>
      <c r="C303" s="5">
        <v>92325.024325864739</v>
      </c>
    </row>
    <row r="304" spans="1:3">
      <c r="A304" s="5">
        <v>280</v>
      </c>
      <c r="B304" s="5">
        <v>710452.54554828024</v>
      </c>
      <c r="C304" s="5">
        <v>50669.874451719807</v>
      </c>
    </row>
    <row r="305" spans="1:3">
      <c r="A305" s="5">
        <v>281</v>
      </c>
      <c r="B305" s="5">
        <v>658610.86653329153</v>
      </c>
      <c r="C305" s="5">
        <v>-133711.29653329158</v>
      </c>
    </row>
    <row r="306" spans="1:3">
      <c r="A306" s="5">
        <v>282</v>
      </c>
      <c r="B306" s="5">
        <v>634825.36285464815</v>
      </c>
      <c r="C306" s="5">
        <v>-79267.59285464813</v>
      </c>
    </row>
    <row r="307" spans="1:3">
      <c r="A307" s="5">
        <v>283</v>
      </c>
      <c r="B307" s="5">
        <v>701551.19752374734</v>
      </c>
      <c r="C307" s="5">
        <v>12532.482476252713</v>
      </c>
    </row>
    <row r="308" spans="1:3">
      <c r="A308" s="5">
        <v>284</v>
      </c>
      <c r="B308" s="5">
        <v>600385.76417809899</v>
      </c>
      <c r="C308" s="5">
        <v>-102945.94417809899</v>
      </c>
    </row>
    <row r="309" spans="1:3">
      <c r="A309" s="5">
        <v>285</v>
      </c>
      <c r="B309" s="5">
        <v>688941.70516429527</v>
      </c>
      <c r="C309" s="5">
        <v>-52166.045164295239</v>
      </c>
    </row>
    <row r="310" spans="1:3">
      <c r="A310" s="5">
        <v>286</v>
      </c>
      <c r="B310" s="5">
        <v>719514.05893320113</v>
      </c>
      <c r="C310" s="5">
        <v>-86504.528933201102</v>
      </c>
    </row>
    <row r="311" spans="1:3">
      <c r="A311" s="5">
        <v>287</v>
      </c>
      <c r="B311" s="5">
        <v>678696.12660148111</v>
      </c>
      <c r="C311" s="5">
        <v>-68747.126601481112</v>
      </c>
    </row>
    <row r="312" spans="1:3">
      <c r="A312" s="5">
        <v>288</v>
      </c>
      <c r="B312" s="5">
        <v>647938.07386400958</v>
      </c>
      <c r="C312" s="5">
        <v>-99834.373864009627</v>
      </c>
    </row>
    <row r="313" spans="1:3">
      <c r="A313" s="5">
        <v>289</v>
      </c>
      <c r="B313" s="5">
        <v>709874.04641054035</v>
      </c>
      <c r="C313" s="5">
        <v>19550.37358945969</v>
      </c>
    </row>
    <row r="314" spans="1:3">
      <c r="A314" s="5">
        <v>290</v>
      </c>
      <c r="B314" s="5">
        <v>707524.80538790964</v>
      </c>
      <c r="C314" s="5">
        <v>-11263.31538790965</v>
      </c>
    </row>
    <row r="315" spans="1:3">
      <c r="A315" s="5">
        <v>291</v>
      </c>
      <c r="B315" s="5">
        <v>681603.69968349941</v>
      </c>
      <c r="C315" s="5">
        <v>131713.01031650056</v>
      </c>
    </row>
    <row r="316" spans="1:3">
      <c r="A316" s="5">
        <v>292</v>
      </c>
      <c r="B316" s="5">
        <v>675946.71707904304</v>
      </c>
      <c r="C316" s="5">
        <v>26122.202920957003</v>
      </c>
    </row>
    <row r="317" spans="1:3">
      <c r="A317" s="5">
        <v>293</v>
      </c>
      <c r="B317" s="5">
        <v>671507.42564690253</v>
      </c>
      <c r="C317" s="5">
        <v>-125283.72564690257</v>
      </c>
    </row>
    <row r="318" spans="1:3">
      <c r="A318" s="5">
        <v>294</v>
      </c>
      <c r="B318" s="5">
        <v>646179.44926273264</v>
      </c>
      <c r="C318" s="5">
        <v>-113058.18926273263</v>
      </c>
    </row>
    <row r="319" spans="1:3">
      <c r="A319" s="5">
        <v>295</v>
      </c>
      <c r="B319" s="5">
        <v>688180.27550591552</v>
      </c>
      <c r="C319" s="5">
        <v>-189209.95550591551</v>
      </c>
    </row>
    <row r="320" spans="1:3">
      <c r="A320" s="5">
        <v>296</v>
      </c>
      <c r="B320" s="5">
        <v>619124.04655583482</v>
      </c>
      <c r="C320" s="5">
        <v>-131385.78655583481</v>
      </c>
    </row>
    <row r="321" spans="1:3">
      <c r="A321" s="5">
        <v>297</v>
      </c>
      <c r="B321" s="5">
        <v>679180.79665028735</v>
      </c>
      <c r="C321" s="5">
        <v>-10721.426650287351</v>
      </c>
    </row>
    <row r="322" spans="1:3">
      <c r="A322" s="5">
        <v>298</v>
      </c>
      <c r="B322" s="5">
        <v>678921.09493908775</v>
      </c>
      <c r="C322" s="5">
        <v>84241.355060912203</v>
      </c>
    </row>
    <row r="323" spans="1:3">
      <c r="A323" s="5">
        <v>299</v>
      </c>
      <c r="B323" s="5">
        <v>659109.84732829907</v>
      </c>
      <c r="C323" s="5">
        <v>-60092.517328299116</v>
      </c>
    </row>
    <row r="324" spans="1:3">
      <c r="A324" s="5">
        <v>300</v>
      </c>
      <c r="B324" s="5">
        <v>612660.14656400145</v>
      </c>
      <c r="C324" s="5">
        <v>-211077.56656400143</v>
      </c>
    </row>
    <row r="325" spans="1:3">
      <c r="A325" s="5">
        <v>301</v>
      </c>
      <c r="B325" s="5">
        <v>647339.62060545024</v>
      </c>
      <c r="C325" s="5">
        <v>56473.369394549751</v>
      </c>
    </row>
    <row r="326" spans="1:3">
      <c r="A326" s="5">
        <v>302</v>
      </c>
      <c r="B326" s="5">
        <v>697042.4393444208</v>
      </c>
      <c r="C326" s="5">
        <v>27304.290655579185</v>
      </c>
    </row>
    <row r="327" spans="1:3">
      <c r="A327" s="5">
        <v>303</v>
      </c>
      <c r="B327" s="5">
        <v>673312.09166676202</v>
      </c>
      <c r="C327" s="5">
        <v>57577.918333237991</v>
      </c>
    </row>
    <row r="328" spans="1:3">
      <c r="A328" s="5">
        <v>304</v>
      </c>
      <c r="B328" s="5">
        <v>628917.89960016066</v>
      </c>
      <c r="C328" s="5">
        <v>151663.0503998393</v>
      </c>
    </row>
    <row r="329" spans="1:3">
      <c r="A329" s="5">
        <v>305</v>
      </c>
      <c r="B329" s="5">
        <v>677793.29314134945</v>
      </c>
      <c r="C329" s="5">
        <v>50164.18685865053</v>
      </c>
    </row>
    <row r="330" spans="1:3">
      <c r="A330" s="5">
        <v>306</v>
      </c>
      <c r="B330" s="5">
        <v>659049.23961447587</v>
      </c>
      <c r="C330" s="5">
        <v>-120673.23961447587</v>
      </c>
    </row>
    <row r="331" spans="1:3">
      <c r="A331" s="5">
        <v>307</v>
      </c>
      <c r="B331" s="5">
        <v>608452.7019977757</v>
      </c>
      <c r="C331" s="5">
        <v>56889.78800222429</v>
      </c>
    </row>
    <row r="332" spans="1:3">
      <c r="A332" s="5">
        <v>308</v>
      </c>
      <c r="B332" s="5">
        <v>690008.60110766452</v>
      </c>
      <c r="C332" s="5">
        <v>-38844.421107664471</v>
      </c>
    </row>
    <row r="333" spans="1:3">
      <c r="A333" s="5">
        <v>309</v>
      </c>
      <c r="B333" s="5">
        <v>663988.49144627457</v>
      </c>
      <c r="C333" s="5">
        <v>-35450.191446274519</v>
      </c>
    </row>
    <row r="334" spans="1:3">
      <c r="A334" s="5">
        <v>310</v>
      </c>
      <c r="B334" s="5">
        <v>611253.34910259559</v>
      </c>
      <c r="C334" s="5">
        <v>-74728.509102595621</v>
      </c>
    </row>
    <row r="335" spans="1:3">
      <c r="A335" s="5">
        <v>311</v>
      </c>
      <c r="B335" s="5">
        <v>676462.13819557964</v>
      </c>
      <c r="C335" s="5">
        <v>-54784.838195579592</v>
      </c>
    </row>
    <row r="336" spans="1:3">
      <c r="A336" s="5">
        <v>312</v>
      </c>
      <c r="B336" s="5">
        <v>743977.42773436964</v>
      </c>
      <c r="C336" s="5">
        <v>27151.642265630304</v>
      </c>
    </row>
    <row r="337" spans="1:3">
      <c r="A337" s="5">
        <v>313</v>
      </c>
      <c r="B337" s="5">
        <v>728944.62772239337</v>
      </c>
      <c r="C337" s="5">
        <v>-26892.1577223934</v>
      </c>
    </row>
    <row r="338" spans="1:3">
      <c r="A338" s="5">
        <v>314</v>
      </c>
      <c r="B338" s="5">
        <v>660373.30307440483</v>
      </c>
      <c r="C338" s="5">
        <v>27995.156925595133</v>
      </c>
    </row>
    <row r="339" spans="1:3">
      <c r="A339" s="5">
        <v>315</v>
      </c>
      <c r="B339" s="5">
        <v>693891.05118314689</v>
      </c>
      <c r="C339" s="5">
        <v>18484.718816853128</v>
      </c>
    </row>
    <row r="340" spans="1:3">
      <c r="A340" s="5">
        <v>316</v>
      </c>
      <c r="B340" s="5">
        <v>702300.99970083835</v>
      </c>
      <c r="C340" s="5">
        <v>142409.67029916169</v>
      </c>
    </row>
    <row r="341" spans="1:3">
      <c r="A341" s="5">
        <v>317</v>
      </c>
      <c r="B341" s="5">
        <v>723933.31106150895</v>
      </c>
      <c r="C341" s="5">
        <v>-103669.111061509</v>
      </c>
    </row>
    <row r="342" spans="1:3">
      <c r="A342" s="5">
        <v>318</v>
      </c>
      <c r="B342" s="5">
        <v>612074.68371494045</v>
      </c>
      <c r="C342" s="5">
        <v>-75229.263714940404</v>
      </c>
    </row>
    <row r="343" spans="1:3">
      <c r="A343" s="5">
        <v>319</v>
      </c>
      <c r="B343" s="5">
        <v>735195.05908338912</v>
      </c>
      <c r="C343" s="5">
        <v>-8418.8390833891463</v>
      </c>
    </row>
    <row r="344" spans="1:3" ht="15" thickBot="1">
      <c r="A344" s="6">
        <v>320</v>
      </c>
      <c r="B344" s="6">
        <v>647138.24796247343</v>
      </c>
      <c r="C344" s="6">
        <v>-87477.407962473459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98B8-4F1C-44D8-B50D-BC1D2F0716C2}">
  <dimension ref="A1:I344"/>
  <sheetViews>
    <sheetView zoomScale="71" workbookViewId="0">
      <selection activeCell="H30" sqref="H30"/>
    </sheetView>
  </sheetViews>
  <sheetFormatPr defaultRowHeight="14.5"/>
  <cols>
    <col min="1" max="1" width="16.6328125" customWidth="1"/>
    <col min="2" max="2" width="18.36328125" customWidth="1"/>
    <col min="3" max="3" width="22.26953125" customWidth="1"/>
    <col min="4" max="4" width="15.90625" customWidth="1"/>
    <col min="5" max="5" width="12.7265625" customWidth="1"/>
    <col min="6" max="6" width="15.54296875" customWidth="1"/>
    <col min="7" max="7" width="13.36328125" customWidth="1"/>
    <col min="8" max="8" width="13.1796875" customWidth="1"/>
    <col min="9" max="9" width="13.90625" customWidth="1"/>
  </cols>
  <sheetData>
    <row r="1" spans="1:9">
      <c r="A1" t="s">
        <v>109</v>
      </c>
    </row>
    <row r="2" spans="1:9" ht="15" thickBot="1"/>
    <row r="3" spans="1:9">
      <c r="A3" s="8" t="s">
        <v>110</v>
      </c>
      <c r="B3" s="8"/>
    </row>
    <row r="4" spans="1:9">
      <c r="A4" s="5" t="s">
        <v>111</v>
      </c>
      <c r="B4" s="5">
        <v>0.85807070804410468</v>
      </c>
    </row>
    <row r="5" spans="1:9">
      <c r="A5" s="5" t="s">
        <v>112</v>
      </c>
      <c r="B5" s="5">
        <v>0.73628534000331114</v>
      </c>
    </row>
    <row r="6" spans="1:9">
      <c r="A6" s="5" t="s">
        <v>113</v>
      </c>
      <c r="B6" s="5">
        <v>0.73545604861967373</v>
      </c>
    </row>
    <row r="7" spans="1:9">
      <c r="A7" s="5" t="s">
        <v>114</v>
      </c>
      <c r="B7" s="5">
        <v>53373.736380790499</v>
      </c>
    </row>
    <row r="8" spans="1:9" ht="15" thickBot="1">
      <c r="A8" s="6" t="s">
        <v>115</v>
      </c>
      <c r="B8" s="6">
        <v>320</v>
      </c>
    </row>
    <row r="10" spans="1:9" ht="15" thickBot="1">
      <c r="A10" t="s">
        <v>116</v>
      </c>
    </row>
    <row r="11" spans="1:9">
      <c r="A11" s="7"/>
      <c r="B11" s="7" t="s">
        <v>121</v>
      </c>
      <c r="C11" s="7" t="s">
        <v>122</v>
      </c>
      <c r="D11" s="7" t="s">
        <v>123</v>
      </c>
      <c r="E11" s="7" t="s">
        <v>124</v>
      </c>
      <c r="F11" s="7" t="s">
        <v>125</v>
      </c>
    </row>
    <row r="12" spans="1:9">
      <c r="A12" s="5" t="s">
        <v>117</v>
      </c>
      <c r="B12" s="5">
        <v>1</v>
      </c>
      <c r="C12" s="5">
        <v>2529264292982.4736</v>
      </c>
      <c r="D12" s="5">
        <v>2529264292982.4736</v>
      </c>
      <c r="E12" s="5">
        <v>887.84877611276033</v>
      </c>
      <c r="F12" s="5">
        <v>4.7503615090053331E-94</v>
      </c>
    </row>
    <row r="13" spans="1:9">
      <c r="A13" s="5" t="s">
        <v>118</v>
      </c>
      <c r="B13" s="5">
        <v>318</v>
      </c>
      <c r="C13" s="5">
        <v>905904323808.26587</v>
      </c>
      <c r="D13" s="5">
        <v>2848755735.246119</v>
      </c>
      <c r="E13" s="5"/>
      <c r="F13" s="5"/>
    </row>
    <row r="14" spans="1:9" ht="15" thickBot="1">
      <c r="A14" s="6" t="s">
        <v>119</v>
      </c>
      <c r="B14" s="6">
        <v>319</v>
      </c>
      <c r="C14" s="6">
        <v>3435168616790.7393</v>
      </c>
      <c r="D14" s="6"/>
      <c r="E14" s="6"/>
      <c r="F14" s="6"/>
    </row>
    <row r="15" spans="1:9" ht="15" thickBot="1"/>
    <row r="16" spans="1:9">
      <c r="A16" s="7"/>
      <c r="B16" s="7" t="s">
        <v>126</v>
      </c>
      <c r="C16" s="7" t="s">
        <v>114</v>
      </c>
      <c r="D16" s="7" t="s">
        <v>127</v>
      </c>
      <c r="E16" s="7" t="s">
        <v>128</v>
      </c>
      <c r="F16" s="7" t="s">
        <v>129</v>
      </c>
      <c r="G16" s="7" t="s">
        <v>130</v>
      </c>
      <c r="H16" s="7" t="s">
        <v>131</v>
      </c>
      <c r="I16" s="7" t="s">
        <v>132</v>
      </c>
    </row>
    <row r="17" spans="1:9">
      <c r="A17" s="5" t="s">
        <v>120</v>
      </c>
      <c r="B17" s="5">
        <v>446410.58293395344</v>
      </c>
      <c r="C17" s="5">
        <v>8407.7382630059928</v>
      </c>
      <c r="D17" s="5">
        <v>53.095204556754318</v>
      </c>
      <c r="E17" s="5">
        <v>4.0862695711507226E-160</v>
      </c>
      <c r="F17" s="5">
        <v>429868.76191129786</v>
      </c>
      <c r="G17" s="5">
        <v>462952.40395660902</v>
      </c>
      <c r="H17" s="5">
        <v>429868.76191129786</v>
      </c>
      <c r="I17" s="5">
        <v>462952.40395660902</v>
      </c>
    </row>
    <row r="18" spans="1:9" ht="15" thickBot="1">
      <c r="A18" s="6" t="s">
        <v>5</v>
      </c>
      <c r="B18" s="6">
        <v>35.678031072640458</v>
      </c>
      <c r="C18" s="6">
        <v>1.1973782890340821</v>
      </c>
      <c r="D18" s="6">
        <v>29.796791372776362</v>
      </c>
      <c r="E18" s="6">
        <v>4.7503615090054677E-94</v>
      </c>
      <c r="F18" s="6">
        <v>33.322246825554025</v>
      </c>
      <c r="G18" s="6">
        <v>38.033815319726891</v>
      </c>
      <c r="H18" s="6">
        <v>33.322246825554025</v>
      </c>
      <c r="I18" s="6">
        <v>38.033815319726891</v>
      </c>
    </row>
    <row r="22" spans="1:9">
      <c r="A22" t="s">
        <v>133</v>
      </c>
    </row>
    <row r="23" spans="1:9" ht="15" thickBot="1"/>
    <row r="24" spans="1:9">
      <c r="A24" s="7" t="s">
        <v>134</v>
      </c>
      <c r="B24" s="7" t="s">
        <v>135</v>
      </c>
      <c r="C24" s="7" t="s">
        <v>136</v>
      </c>
    </row>
    <row r="25" spans="1:9">
      <c r="A25" s="5">
        <v>1</v>
      </c>
      <c r="B25" s="5">
        <v>742609.59689901455</v>
      </c>
      <c r="C25" s="5">
        <v>-83776.976899014553</v>
      </c>
    </row>
    <row r="26" spans="1:9">
      <c r="A26" s="5">
        <v>2</v>
      </c>
      <c r="B26" s="5">
        <v>749210.03264745302</v>
      </c>
      <c r="C26" s="5">
        <v>-114774.03264745302</v>
      </c>
    </row>
    <row r="27" spans="1:9">
      <c r="A27" s="5">
        <v>3</v>
      </c>
      <c r="B27" s="5">
        <v>771544.480098926</v>
      </c>
      <c r="C27" s="5">
        <v>-92822.420098925941</v>
      </c>
    </row>
    <row r="28" spans="1:9">
      <c r="A28" s="5">
        <v>4</v>
      </c>
      <c r="B28" s="5">
        <v>782890.09398002562</v>
      </c>
      <c r="C28" s="5">
        <v>-123969.79398002557</v>
      </c>
    </row>
    <row r="29" spans="1:9">
      <c r="A29" s="5">
        <v>5</v>
      </c>
      <c r="B29" s="5">
        <v>786957.38952230662</v>
      </c>
      <c r="C29" s="5">
        <v>-45615.949522306677</v>
      </c>
    </row>
    <row r="30" spans="1:9">
      <c r="A30" s="5">
        <v>6</v>
      </c>
      <c r="B30" s="5">
        <v>795769.86319724878</v>
      </c>
      <c r="C30" s="5">
        <v>-33934.523197248811</v>
      </c>
    </row>
    <row r="31" spans="1:9">
      <c r="A31" s="5">
        <v>7</v>
      </c>
      <c r="B31" s="5">
        <v>825168.56080110453</v>
      </c>
      <c r="C31" s="5">
        <v>-18553.020801104489</v>
      </c>
    </row>
    <row r="32" spans="1:9">
      <c r="A32" s="5">
        <v>8</v>
      </c>
      <c r="B32" s="5">
        <v>752064.27513326425</v>
      </c>
      <c r="C32" s="5">
        <v>98099.984866735758</v>
      </c>
    </row>
    <row r="33" spans="1:3">
      <c r="A33" s="5">
        <v>9</v>
      </c>
      <c r="B33" s="5">
        <v>838119.68608047301</v>
      </c>
      <c r="C33" s="5">
        <v>92462.013919526944</v>
      </c>
    </row>
    <row r="34" spans="1:3">
      <c r="A34" s="5">
        <v>10</v>
      </c>
      <c r="B34" s="5">
        <v>783889.07885005954</v>
      </c>
      <c r="C34" s="5">
        <v>-4878.1388500595931</v>
      </c>
    </row>
    <row r="35" spans="1:3">
      <c r="A35" s="5">
        <v>11</v>
      </c>
      <c r="B35" s="5">
        <v>773649.48393221176</v>
      </c>
      <c r="C35" s="5">
        <v>-50588.723932211753</v>
      </c>
    </row>
    <row r="36" spans="1:3">
      <c r="A36" s="5">
        <v>12</v>
      </c>
      <c r="B36" s="5">
        <v>847074.87187970581</v>
      </c>
      <c r="C36" s="5">
        <v>63717.068120294134</v>
      </c>
    </row>
    <row r="37" spans="1:3">
      <c r="A37" s="5">
        <v>13</v>
      </c>
      <c r="B37" s="5">
        <v>902197.42988693528</v>
      </c>
      <c r="C37" s="5">
        <v>19971.170113064698</v>
      </c>
    </row>
    <row r="38" spans="1:3">
      <c r="A38" s="5">
        <v>14</v>
      </c>
      <c r="B38" s="5">
        <v>805117.50733828056</v>
      </c>
      <c r="C38" s="5">
        <v>-78511.227338280529</v>
      </c>
    </row>
    <row r="39" spans="1:3">
      <c r="A39" s="5">
        <v>15</v>
      </c>
      <c r="B39" s="5">
        <v>763766.66932509025</v>
      </c>
      <c r="C39" s="5">
        <v>-17265.579325090279</v>
      </c>
    </row>
    <row r="40" spans="1:3">
      <c r="A40" s="5">
        <v>16</v>
      </c>
      <c r="B40" s="5">
        <v>836728.24286863999</v>
      </c>
      <c r="C40" s="5">
        <v>-2711.2228686399758</v>
      </c>
    </row>
    <row r="41" spans="1:3">
      <c r="A41" s="5">
        <v>17</v>
      </c>
      <c r="B41" s="5">
        <v>698190.44821357715</v>
      </c>
      <c r="C41" s="5">
        <v>-32037.928213577135</v>
      </c>
    </row>
    <row r="42" spans="1:3">
      <c r="A42" s="5">
        <v>18</v>
      </c>
      <c r="B42" s="5">
        <v>598506.02939661965</v>
      </c>
      <c r="C42" s="5">
        <v>-25350.839396619704</v>
      </c>
    </row>
    <row r="43" spans="1:3">
      <c r="A43" s="5">
        <v>19</v>
      </c>
      <c r="B43" s="5">
        <v>643995.51901423628</v>
      </c>
      <c r="C43" s="5">
        <v>22577.680985763669</v>
      </c>
    </row>
    <row r="44" spans="1:3">
      <c r="A44" s="5">
        <v>20</v>
      </c>
      <c r="B44" s="5">
        <v>619984.20410234923</v>
      </c>
      <c r="C44" s="5">
        <v>-28364.254102349281</v>
      </c>
    </row>
    <row r="45" spans="1:3">
      <c r="A45" s="5">
        <v>21</v>
      </c>
      <c r="B45" s="5">
        <v>547093.98662094481</v>
      </c>
      <c r="C45" s="5">
        <v>-131372.1666209448</v>
      </c>
    </row>
    <row r="46" spans="1:3">
      <c r="A46" s="5">
        <v>22</v>
      </c>
      <c r="B46" s="5">
        <v>522083.68683902384</v>
      </c>
      <c r="C46" s="5">
        <v>-30178.556839023833</v>
      </c>
    </row>
    <row r="47" spans="1:3">
      <c r="A47" s="5">
        <v>23</v>
      </c>
      <c r="B47" s="5">
        <v>566431.47946231591</v>
      </c>
      <c r="C47" s="5">
        <v>-10502.079462315887</v>
      </c>
    </row>
    <row r="48" spans="1:3">
      <c r="A48" s="5">
        <v>24</v>
      </c>
      <c r="B48" s="5">
        <v>539637.27812676295</v>
      </c>
      <c r="C48" s="5">
        <v>26173.711873237044</v>
      </c>
    </row>
    <row r="49" spans="1:3">
      <c r="A49" s="5">
        <v>25</v>
      </c>
      <c r="B49" s="5">
        <v>810968.70443419367</v>
      </c>
      <c r="C49" s="5">
        <v>802.43556580634322</v>
      </c>
    </row>
    <row r="50" spans="1:3">
      <c r="A50" s="5">
        <v>26</v>
      </c>
      <c r="B50" s="5">
        <v>764908.36631941481</v>
      </c>
      <c r="C50" s="5">
        <v>35543.573680585134</v>
      </c>
    </row>
    <row r="51" spans="1:3">
      <c r="A51" s="5">
        <v>27</v>
      </c>
      <c r="B51" s="5">
        <v>778751.44237559929</v>
      </c>
      <c r="C51" s="5">
        <v>4921.3776244006585</v>
      </c>
    </row>
    <row r="52" spans="1:3">
      <c r="A52" s="5">
        <v>28</v>
      </c>
      <c r="B52" s="5">
        <v>704113.00137163547</v>
      </c>
      <c r="C52" s="5">
        <v>-2471.0313716355013</v>
      </c>
    </row>
    <row r="53" spans="1:3">
      <c r="A53" s="5">
        <v>29</v>
      </c>
      <c r="B53" s="5">
        <v>588694.57085164357</v>
      </c>
      <c r="C53" s="5">
        <v>-76850.160851643595</v>
      </c>
    </row>
    <row r="54" spans="1:3">
      <c r="A54" s="5">
        <v>30</v>
      </c>
      <c r="B54" s="5">
        <v>531681.07719756418</v>
      </c>
      <c r="C54" s="5">
        <v>5702.7128024358535</v>
      </c>
    </row>
    <row r="55" spans="1:3">
      <c r="A55" s="5">
        <v>31</v>
      </c>
      <c r="B55" s="5">
        <v>534570.99771444802</v>
      </c>
      <c r="C55" s="5">
        <v>-34397.977714448003</v>
      </c>
    </row>
    <row r="56" spans="1:3">
      <c r="A56" s="5">
        <v>32</v>
      </c>
      <c r="B56" s="5">
        <v>481053.9511054873</v>
      </c>
      <c r="C56" s="5">
        <v>-53136.571105487295</v>
      </c>
    </row>
    <row r="57" spans="1:3">
      <c r="A57" s="5">
        <v>33</v>
      </c>
      <c r="B57" s="5">
        <v>782818.73791788029</v>
      </c>
      <c r="C57" s="5">
        <v>-140953.70791788027</v>
      </c>
    </row>
    <row r="58" spans="1:3">
      <c r="A58" s="5">
        <v>34</v>
      </c>
      <c r="B58" s="5">
        <v>863665.1563284836</v>
      </c>
      <c r="C58" s="5">
        <v>-64187.396328483592</v>
      </c>
    </row>
    <row r="59" spans="1:3">
      <c r="A59" s="5">
        <v>35</v>
      </c>
      <c r="B59" s="5">
        <v>783532.29853933305</v>
      </c>
      <c r="C59" s="5">
        <v>15419.871460666996</v>
      </c>
    </row>
    <row r="60" spans="1:3">
      <c r="A60" s="5">
        <v>36</v>
      </c>
      <c r="B60" s="5">
        <v>819353.04173626413</v>
      </c>
      <c r="C60" s="5">
        <v>-18373.261736264103</v>
      </c>
    </row>
    <row r="61" spans="1:3">
      <c r="A61" s="5">
        <v>37</v>
      </c>
      <c r="B61" s="5">
        <v>761733.0215539498</v>
      </c>
      <c r="C61" s="5">
        <v>58860.908446050249</v>
      </c>
    </row>
    <row r="62" spans="1:3">
      <c r="A62" s="5">
        <v>38</v>
      </c>
      <c r="B62" s="5">
        <v>737400.6043624091</v>
      </c>
      <c r="C62" s="5">
        <v>-19070.074362409068</v>
      </c>
    </row>
    <row r="63" spans="1:3">
      <c r="A63" s="5">
        <v>39</v>
      </c>
      <c r="B63" s="5">
        <v>716207.85390526056</v>
      </c>
      <c r="C63" s="5">
        <v>20425.54609473946</v>
      </c>
    </row>
    <row r="64" spans="1:3">
      <c r="A64" s="5">
        <v>40</v>
      </c>
      <c r="B64" s="5">
        <v>788848.32516915654</v>
      </c>
      <c r="C64" s="5">
        <v>39775.524830843438</v>
      </c>
    </row>
    <row r="65" spans="1:3">
      <c r="A65" s="5">
        <v>41</v>
      </c>
      <c r="B65" s="5">
        <v>576992.17665981757</v>
      </c>
      <c r="C65" s="5">
        <v>15203.673340182402</v>
      </c>
    </row>
    <row r="66" spans="1:3">
      <c r="A66" s="5">
        <v>42</v>
      </c>
      <c r="B66" s="5">
        <v>561543.58920536423</v>
      </c>
      <c r="C66" s="5">
        <v>-28899.129205364268</v>
      </c>
    </row>
    <row r="67" spans="1:3">
      <c r="A67" s="5">
        <v>43</v>
      </c>
      <c r="B67" s="5">
        <v>566288.76733802538</v>
      </c>
      <c r="C67" s="5">
        <v>91140.412661974668</v>
      </c>
    </row>
    <row r="68" spans="1:3">
      <c r="A68" s="5">
        <v>44</v>
      </c>
      <c r="B68" s="5">
        <v>576349.97210051003</v>
      </c>
      <c r="C68" s="5">
        <v>28828.027899489971</v>
      </c>
    </row>
    <row r="69" spans="1:3">
      <c r="A69" s="5">
        <v>45</v>
      </c>
      <c r="B69" s="5">
        <v>629974.05280268856</v>
      </c>
      <c r="C69" s="5">
        <v>-34506.452802688582</v>
      </c>
    </row>
    <row r="70" spans="1:3">
      <c r="A70" s="5">
        <v>46</v>
      </c>
      <c r="B70" s="5">
        <v>605534.60151792993</v>
      </c>
      <c r="C70" s="5">
        <v>-5931.2015179299051</v>
      </c>
    </row>
    <row r="71" spans="1:3">
      <c r="A71" s="5">
        <v>47</v>
      </c>
      <c r="B71" s="5">
        <v>582129.81313427771</v>
      </c>
      <c r="C71" s="5">
        <v>32670.276865722262</v>
      </c>
    </row>
    <row r="72" spans="1:3">
      <c r="A72" s="5">
        <v>48</v>
      </c>
      <c r="B72" s="5">
        <v>591762.88152389065</v>
      </c>
      <c r="C72" s="5">
        <v>-6397.1515238906723</v>
      </c>
    </row>
    <row r="73" spans="1:3">
      <c r="A73" s="5">
        <v>49</v>
      </c>
      <c r="B73" s="5">
        <v>628511.25352871034</v>
      </c>
      <c r="C73" s="5">
        <v>-5699.5135287103476</v>
      </c>
    </row>
    <row r="74" spans="1:3">
      <c r="A74" s="5">
        <v>50</v>
      </c>
      <c r="B74" s="5">
        <v>644744.75766676175</v>
      </c>
      <c r="C74" s="5">
        <v>-41447.187666761805</v>
      </c>
    </row>
    <row r="75" spans="1:3">
      <c r="A75" s="5">
        <v>51</v>
      </c>
      <c r="B75" s="5">
        <v>630152.4429580518</v>
      </c>
      <c r="C75" s="5">
        <v>-4479.5829580518184</v>
      </c>
    </row>
    <row r="76" spans="1:3">
      <c r="A76" s="5">
        <v>52</v>
      </c>
      <c r="B76" s="5">
        <v>702899.9483151657</v>
      </c>
      <c r="C76" s="5">
        <v>70915.19168483431</v>
      </c>
    </row>
    <row r="77" spans="1:3">
      <c r="A77" s="5">
        <v>53</v>
      </c>
      <c r="B77" s="5">
        <v>563398.84682114155</v>
      </c>
      <c r="C77" s="5">
        <v>-99864.596821141546</v>
      </c>
    </row>
    <row r="78" spans="1:3">
      <c r="A78" s="5">
        <v>54</v>
      </c>
      <c r="B78" s="5">
        <v>656447.15185858775</v>
      </c>
      <c r="C78" s="5">
        <v>90230.598141412251</v>
      </c>
    </row>
    <row r="79" spans="1:3">
      <c r="A79" s="5">
        <v>55</v>
      </c>
      <c r="B79" s="5">
        <v>643210.60233063821</v>
      </c>
      <c r="C79" s="5">
        <v>77641.897669361788</v>
      </c>
    </row>
    <row r="80" spans="1:3">
      <c r="A80" s="5">
        <v>56</v>
      </c>
      <c r="B80" s="5">
        <v>548556.78589492303</v>
      </c>
      <c r="C80" s="5">
        <v>-61091.875894923054</v>
      </c>
    </row>
    <row r="81" spans="1:3">
      <c r="A81" s="5">
        <v>57</v>
      </c>
      <c r="B81" s="5">
        <v>531252.94082469249</v>
      </c>
      <c r="C81" s="5">
        <v>-13203.680824692477</v>
      </c>
    </row>
    <row r="82" spans="1:3">
      <c r="A82" s="5">
        <v>58</v>
      </c>
      <c r="B82" s="5">
        <v>536140.83108164417</v>
      </c>
      <c r="C82" s="5">
        <v>-35842.351081644185</v>
      </c>
    </row>
    <row r="83" spans="1:3">
      <c r="A83" s="5">
        <v>59</v>
      </c>
      <c r="B83" s="5">
        <v>589907.62390811334</v>
      </c>
      <c r="C83" s="5">
        <v>27383.526091886684</v>
      </c>
    </row>
    <row r="84" spans="1:3">
      <c r="A84" s="5">
        <v>60</v>
      </c>
      <c r="B84" s="5">
        <v>602573.32493890077</v>
      </c>
      <c r="C84" s="5">
        <v>-48816.894938900718</v>
      </c>
    </row>
    <row r="85" spans="1:3">
      <c r="A85" s="5">
        <v>61</v>
      </c>
      <c r="B85" s="5">
        <v>635718.21580538375</v>
      </c>
      <c r="C85" s="5">
        <v>113841.49419461621</v>
      </c>
    </row>
    <row r="86" spans="1:3">
      <c r="A86" s="5">
        <v>62</v>
      </c>
      <c r="B86" s="5">
        <v>586553.8889872852</v>
      </c>
      <c r="C86" s="5">
        <v>29412.59101271478</v>
      </c>
    </row>
    <row r="87" spans="1:3">
      <c r="A87" s="5">
        <v>63</v>
      </c>
      <c r="B87" s="5">
        <v>583592.61240825604</v>
      </c>
      <c r="C87" s="5">
        <v>-11581.412408256088</v>
      </c>
    </row>
    <row r="88" spans="1:3">
      <c r="A88" s="5">
        <v>64</v>
      </c>
      <c r="B88" s="5">
        <v>682599.14863483328</v>
      </c>
      <c r="C88" s="5">
        <v>79261.04136516666</v>
      </c>
    </row>
    <row r="89" spans="1:3">
      <c r="A89" s="5">
        <v>65</v>
      </c>
      <c r="B89" s="5">
        <v>773756.51802542969</v>
      </c>
      <c r="C89" s="5">
        <v>10746.161974570365</v>
      </c>
    </row>
    <row r="90" spans="1:3">
      <c r="A90" s="5">
        <v>66</v>
      </c>
      <c r="B90" s="5">
        <v>729694.14965071867</v>
      </c>
      <c r="C90" s="5">
        <v>-12552.599650718621</v>
      </c>
    </row>
    <row r="91" spans="1:3">
      <c r="A91" s="5">
        <v>67</v>
      </c>
      <c r="B91" s="5">
        <v>789918.66610133578</v>
      </c>
      <c r="C91" s="5">
        <v>-104539.58610133582</v>
      </c>
    </row>
    <row r="92" spans="1:3">
      <c r="A92" s="5">
        <v>68</v>
      </c>
      <c r="B92" s="5">
        <v>742395.5287125787</v>
      </c>
      <c r="C92" s="5">
        <v>-1898.8787125786766</v>
      </c>
    </row>
    <row r="93" spans="1:3">
      <c r="A93" s="5">
        <v>69</v>
      </c>
      <c r="B93" s="5">
        <v>574673.10464009584</v>
      </c>
      <c r="C93" s="5">
        <v>87254.03535990417</v>
      </c>
    </row>
    <row r="94" spans="1:3">
      <c r="A94" s="5">
        <v>70</v>
      </c>
      <c r="B94" s="5">
        <v>547522.12299381651</v>
      </c>
      <c r="C94" s="5">
        <v>-68471.622993816505</v>
      </c>
    </row>
    <row r="95" spans="1:3">
      <c r="A95" s="5">
        <v>71</v>
      </c>
      <c r="B95" s="5">
        <v>560330.53614889446</v>
      </c>
      <c r="C95" s="5">
        <v>44693.333851105534</v>
      </c>
    </row>
    <row r="96" spans="1:3">
      <c r="A96" s="5">
        <v>72</v>
      </c>
      <c r="B96" s="5">
        <v>642104.58336738637</v>
      </c>
      <c r="C96" s="5">
        <v>32669.5066326136</v>
      </c>
    </row>
    <row r="97" spans="1:3">
      <c r="A97" s="5">
        <v>73</v>
      </c>
      <c r="B97" s="5">
        <v>657553.17082183971</v>
      </c>
      <c r="C97" s="5">
        <v>-41483.760821839678</v>
      </c>
    </row>
    <row r="98" spans="1:3">
      <c r="A98" s="5">
        <v>74</v>
      </c>
      <c r="B98" s="5">
        <v>689770.43288043397</v>
      </c>
      <c r="C98" s="5">
        <v>-58940.492880434031</v>
      </c>
    </row>
    <row r="99" spans="1:3">
      <c r="A99" s="5">
        <v>75</v>
      </c>
      <c r="B99" s="5">
        <v>689235.26241434435</v>
      </c>
      <c r="C99" s="5">
        <v>98852.417585655698</v>
      </c>
    </row>
    <row r="100" spans="1:3">
      <c r="A100" s="5">
        <v>76</v>
      </c>
      <c r="B100" s="5">
        <v>740825.69534538244</v>
      </c>
      <c r="C100" s="5">
        <v>-59985.335345382453</v>
      </c>
    </row>
    <row r="101" spans="1:3">
      <c r="A101" s="5">
        <v>77</v>
      </c>
      <c r="B101" s="5">
        <v>684097.62593988422</v>
      </c>
      <c r="C101" s="5">
        <v>-40440.155939884251</v>
      </c>
    </row>
    <row r="102" spans="1:3">
      <c r="A102" s="5">
        <v>78</v>
      </c>
      <c r="B102" s="5">
        <v>659123.00418903586</v>
      </c>
      <c r="C102" s="5">
        <v>31989.595810964121</v>
      </c>
    </row>
    <row r="103" spans="1:3">
      <c r="A103" s="5">
        <v>79</v>
      </c>
      <c r="B103" s="5">
        <v>712925.47504657763</v>
      </c>
      <c r="C103" s="5">
        <v>63996.694953422411</v>
      </c>
    </row>
    <row r="104" spans="1:3">
      <c r="A104" s="5">
        <v>80</v>
      </c>
      <c r="B104" s="5">
        <v>659551.14056190755</v>
      </c>
      <c r="C104" s="5">
        <v>-22989.800561907585</v>
      </c>
    </row>
    <row r="105" spans="1:3">
      <c r="A105" s="5">
        <v>81</v>
      </c>
      <c r="B105" s="5">
        <v>639428.73103693826</v>
      </c>
      <c r="C105" s="5">
        <v>-18059.151036938303</v>
      </c>
    </row>
    <row r="106" spans="1:3">
      <c r="A106" s="5">
        <v>82</v>
      </c>
      <c r="B106" s="5">
        <v>605213.49923827616</v>
      </c>
      <c r="C106" s="5">
        <v>76994.510761723854</v>
      </c>
    </row>
    <row r="107" spans="1:3">
      <c r="A107" s="5">
        <v>83</v>
      </c>
      <c r="B107" s="5">
        <v>612099.35923529579</v>
      </c>
      <c r="C107" s="5">
        <v>115142.50076470419</v>
      </c>
    </row>
    <row r="108" spans="1:3">
      <c r="A108" s="5">
        <v>84</v>
      </c>
      <c r="B108" s="5">
        <v>573388.69552148087</v>
      </c>
      <c r="C108" s="5">
        <v>-4287.9155214808416</v>
      </c>
    </row>
    <row r="109" spans="1:3">
      <c r="A109" s="5">
        <v>85</v>
      </c>
      <c r="B109" s="5">
        <v>556691.37697948515</v>
      </c>
      <c r="C109" s="5">
        <v>17744.913020514883</v>
      </c>
    </row>
    <row r="110" spans="1:3">
      <c r="A110" s="5">
        <v>86</v>
      </c>
      <c r="B110" s="5">
        <v>589265.41934880579</v>
      </c>
      <c r="C110" s="5">
        <v>22501.300651194178</v>
      </c>
    </row>
    <row r="111" spans="1:3">
      <c r="A111" s="5">
        <v>87</v>
      </c>
      <c r="B111" s="5">
        <v>581558.96463711548</v>
      </c>
      <c r="C111" s="5">
        <v>33037.355362884467</v>
      </c>
    </row>
    <row r="112" spans="1:3">
      <c r="A112" s="5">
        <v>88</v>
      </c>
      <c r="B112" s="5">
        <v>491364.9020854804</v>
      </c>
      <c r="C112" s="5">
        <v>-40652.982085480413</v>
      </c>
    </row>
    <row r="113" spans="1:3">
      <c r="A113" s="5">
        <v>89</v>
      </c>
      <c r="B113" s="5">
        <v>697013.07318817999</v>
      </c>
      <c r="C113" s="5">
        <v>14200.386811819975</v>
      </c>
    </row>
    <row r="114" spans="1:3">
      <c r="A114" s="5">
        <v>90</v>
      </c>
      <c r="B114" s="5">
        <v>639071.95072621189</v>
      </c>
      <c r="C114" s="5">
        <v>-11900.050726211863</v>
      </c>
    </row>
    <row r="115" spans="1:3">
      <c r="A115" s="5">
        <v>91</v>
      </c>
      <c r="B115" s="5">
        <v>660050.63299692445</v>
      </c>
      <c r="C115" s="5">
        <v>79801.947003075504</v>
      </c>
    </row>
    <row r="116" spans="1:3">
      <c r="A116" s="5">
        <v>92</v>
      </c>
      <c r="B116" s="5">
        <v>578454.97593379579</v>
      </c>
      <c r="C116" s="5">
        <v>7852.2440662041772</v>
      </c>
    </row>
    <row r="117" spans="1:3">
      <c r="A117" s="5">
        <v>93</v>
      </c>
      <c r="B117" s="5">
        <v>607282.8250404892</v>
      </c>
      <c r="C117" s="5">
        <v>-21345.345040489221</v>
      </c>
    </row>
    <row r="118" spans="1:3">
      <c r="A118" s="5">
        <v>94</v>
      </c>
      <c r="B118" s="5">
        <v>677497.19019144564</v>
      </c>
      <c r="C118" s="5">
        <v>75976.359808554407</v>
      </c>
    </row>
    <row r="119" spans="1:3">
      <c r="A119" s="5">
        <v>95</v>
      </c>
      <c r="B119" s="5">
        <v>730764.49058289791</v>
      </c>
      <c r="C119" s="5">
        <v>107485.82941710204</v>
      </c>
    </row>
    <row r="120" spans="1:3">
      <c r="A120" s="5">
        <v>96</v>
      </c>
      <c r="B120" s="5">
        <v>662512.41714093671</v>
      </c>
      <c r="C120" s="5">
        <v>-54614.297140936716</v>
      </c>
    </row>
    <row r="121" spans="1:3">
      <c r="A121" s="5">
        <v>97</v>
      </c>
      <c r="B121" s="5">
        <v>674535.91361241648</v>
      </c>
      <c r="C121" s="5">
        <v>16577.706387583516</v>
      </c>
    </row>
    <row r="122" spans="1:3">
      <c r="A122" s="5">
        <v>98</v>
      </c>
      <c r="B122" s="5">
        <v>630152.4429580518</v>
      </c>
      <c r="C122" s="5">
        <v>105356.95704194822</v>
      </c>
    </row>
    <row r="123" spans="1:3">
      <c r="A123" s="5">
        <v>99</v>
      </c>
      <c r="B123" s="5">
        <v>614525.46534823533</v>
      </c>
      <c r="C123" s="5">
        <v>-8750.1353482353734</v>
      </c>
    </row>
    <row r="124" spans="1:3">
      <c r="A124" s="5">
        <v>100</v>
      </c>
      <c r="B124" s="5">
        <v>634826.26502856775</v>
      </c>
      <c r="C124" s="5">
        <v>40351.414971432299</v>
      </c>
    </row>
    <row r="125" spans="1:3">
      <c r="A125" s="5">
        <v>101</v>
      </c>
      <c r="B125" s="5">
        <v>576349.97210051003</v>
      </c>
      <c r="C125" s="5">
        <v>58831.377899489948</v>
      </c>
    </row>
    <row r="126" spans="1:3">
      <c r="A126" s="5">
        <v>102</v>
      </c>
      <c r="B126" s="5">
        <v>602430.61281461013</v>
      </c>
      <c r="C126" s="5">
        <v>-15803.672814610181</v>
      </c>
    </row>
    <row r="127" spans="1:3">
      <c r="A127" s="5">
        <v>103</v>
      </c>
      <c r="B127" s="5">
        <v>690162.89122223307</v>
      </c>
      <c r="C127" s="5">
        <v>49939.748777766945</v>
      </c>
    </row>
    <row r="128" spans="1:3">
      <c r="A128" s="5">
        <v>104</v>
      </c>
      <c r="B128" s="5">
        <v>532537.34994330746</v>
      </c>
      <c r="C128" s="5">
        <v>92976.690056692576</v>
      </c>
    </row>
    <row r="129" spans="1:3">
      <c r="A129" s="5">
        <v>105</v>
      </c>
      <c r="B129" s="5">
        <v>709500.38406360417</v>
      </c>
      <c r="C129" s="5">
        <v>17726.815936395782</v>
      </c>
    </row>
    <row r="130" spans="1:3">
      <c r="A130" s="5">
        <v>106</v>
      </c>
      <c r="B130" s="5">
        <v>758200.89647775842</v>
      </c>
      <c r="C130" s="5">
        <v>25596.993522241595</v>
      </c>
    </row>
    <row r="131" spans="1:3">
      <c r="A131" s="5">
        <v>107</v>
      </c>
      <c r="B131" s="5">
        <v>695871.37619385554</v>
      </c>
      <c r="C131" s="5">
        <v>99282.463806144428</v>
      </c>
    </row>
    <row r="132" spans="1:3">
      <c r="A132" s="5">
        <v>108</v>
      </c>
      <c r="B132" s="5">
        <v>699974.34976720915</v>
      </c>
      <c r="C132" s="5">
        <v>-34379.409767209203</v>
      </c>
    </row>
    <row r="133" spans="1:3">
      <c r="A133" s="5">
        <v>109</v>
      </c>
      <c r="B133" s="5">
        <v>695264.8496656206</v>
      </c>
      <c r="C133" s="5">
        <v>14213.540334379417</v>
      </c>
    </row>
    <row r="134" spans="1:3">
      <c r="A134" s="5">
        <v>110</v>
      </c>
      <c r="B134" s="5">
        <v>642390.00761596742</v>
      </c>
      <c r="C134" s="5">
        <v>21772.48238403257</v>
      </c>
    </row>
    <row r="135" spans="1:3">
      <c r="A135" s="5">
        <v>111</v>
      </c>
      <c r="B135" s="5">
        <v>649275.86761298706</v>
      </c>
      <c r="C135" s="5">
        <v>-15781.657612987095</v>
      </c>
    </row>
    <row r="136" spans="1:3">
      <c r="A136" s="5">
        <v>112</v>
      </c>
      <c r="B136" s="5">
        <v>591370.42318209168</v>
      </c>
      <c r="C136" s="5">
        <v>122240.73681790836</v>
      </c>
    </row>
    <row r="137" spans="1:3">
      <c r="A137" s="5">
        <v>113</v>
      </c>
      <c r="B137" s="5">
        <v>766299.80953124771</v>
      </c>
      <c r="C137" s="5">
        <v>12098.160468752263</v>
      </c>
    </row>
    <row r="138" spans="1:3">
      <c r="A138" s="5">
        <v>114</v>
      </c>
      <c r="B138" s="5">
        <v>784959.41978223878</v>
      </c>
      <c r="C138" s="5">
        <v>88420.600217761239</v>
      </c>
    </row>
    <row r="139" spans="1:3">
      <c r="A139" s="5">
        <v>115</v>
      </c>
      <c r="B139" s="5">
        <v>775540.41957906168</v>
      </c>
      <c r="C139" s="5">
        <v>-78252.519579061656</v>
      </c>
    </row>
    <row r="140" spans="1:3">
      <c r="A140" s="5">
        <v>116</v>
      </c>
      <c r="B140" s="5">
        <v>776396.69232480507</v>
      </c>
      <c r="C140" s="5">
        <v>-58321.902324805036</v>
      </c>
    </row>
    <row r="141" spans="1:3">
      <c r="A141" s="5">
        <v>117</v>
      </c>
      <c r="B141" s="5">
        <v>725448.46395307453</v>
      </c>
      <c r="C141" s="5">
        <v>-10506.033953074482</v>
      </c>
    </row>
    <row r="142" spans="1:3">
      <c r="A142" s="5">
        <v>118</v>
      </c>
      <c r="B142" s="5">
        <v>747319.0970006031</v>
      </c>
      <c r="C142" s="5">
        <v>73199.942999396939</v>
      </c>
    </row>
    <row r="143" spans="1:3">
      <c r="A143" s="5">
        <v>119</v>
      </c>
      <c r="B143" s="5">
        <v>750101.98342426901</v>
      </c>
      <c r="C143" s="5">
        <v>-65884.663424269063</v>
      </c>
    </row>
    <row r="144" spans="1:3">
      <c r="A144" s="5">
        <v>120</v>
      </c>
      <c r="B144" s="5">
        <v>725270.07379771117</v>
      </c>
      <c r="C144" s="5">
        <v>10210.116202288773</v>
      </c>
    </row>
    <row r="145" spans="1:3">
      <c r="A145" s="5">
        <v>121</v>
      </c>
      <c r="B145" s="5">
        <v>583878.0366568371</v>
      </c>
      <c r="C145" s="5">
        <v>-74393.226656837098</v>
      </c>
    </row>
    <row r="146" spans="1:3">
      <c r="A146" s="5">
        <v>122</v>
      </c>
      <c r="B146" s="5">
        <v>578205.22971628723</v>
      </c>
      <c r="C146" s="5">
        <v>76111.86028371274</v>
      </c>
    </row>
    <row r="147" spans="1:3">
      <c r="A147" s="5">
        <v>123</v>
      </c>
      <c r="B147" s="5">
        <v>604214.51436824212</v>
      </c>
      <c r="C147" s="5">
        <v>-46727.254368242109</v>
      </c>
    </row>
    <row r="148" spans="1:3">
      <c r="A148" s="5">
        <v>124</v>
      </c>
      <c r="B148" s="5">
        <v>514412.91015840613</v>
      </c>
      <c r="C148" s="5">
        <v>-73137.490158406144</v>
      </c>
    </row>
    <row r="149" spans="1:3">
      <c r="A149" s="5">
        <v>125</v>
      </c>
      <c r="B149" s="5">
        <v>817319.39396512369</v>
      </c>
      <c r="C149" s="5">
        <v>97224.776034876355</v>
      </c>
    </row>
    <row r="150" spans="1:3">
      <c r="A150" s="5">
        <v>126</v>
      </c>
      <c r="B150" s="5">
        <v>841580.45509451907</v>
      </c>
      <c r="C150" s="5">
        <v>859.21490548097063</v>
      </c>
    </row>
    <row r="151" spans="1:3">
      <c r="A151" s="5">
        <v>127</v>
      </c>
      <c r="B151" s="5">
        <v>787992.05242341314</v>
      </c>
      <c r="C151" s="5">
        <v>54165.867576586897</v>
      </c>
    </row>
    <row r="152" spans="1:3">
      <c r="A152" s="5">
        <v>128</v>
      </c>
      <c r="B152" s="5">
        <v>739719.67638213071</v>
      </c>
      <c r="C152" s="5">
        <v>-42564.376382130664</v>
      </c>
    </row>
    <row r="153" spans="1:3">
      <c r="A153" s="5">
        <v>129</v>
      </c>
      <c r="B153" s="5">
        <v>825239.91686324985</v>
      </c>
      <c r="C153" s="5">
        <v>23778.383136750199</v>
      </c>
    </row>
    <row r="154" spans="1:3">
      <c r="A154" s="5">
        <v>130</v>
      </c>
      <c r="B154" s="5">
        <v>824455.00017965166</v>
      </c>
      <c r="C154" s="5">
        <v>-22624.650179651682</v>
      </c>
    </row>
    <row r="155" spans="1:3">
      <c r="A155" s="5">
        <v>131</v>
      </c>
      <c r="B155" s="5">
        <v>789597.56382168201</v>
      </c>
      <c r="C155" s="5">
        <v>-64362.28382168198</v>
      </c>
    </row>
    <row r="156" spans="1:3">
      <c r="A156" s="5">
        <v>132</v>
      </c>
      <c r="B156" s="5">
        <v>833017.72763708537</v>
      </c>
      <c r="C156" s="5">
        <v>-21565.007637085393</v>
      </c>
    </row>
    <row r="157" spans="1:3">
      <c r="A157" s="5">
        <v>133</v>
      </c>
      <c r="B157" s="5">
        <v>554978.83148799837</v>
      </c>
      <c r="C157" s="5">
        <v>-27678.701487998362</v>
      </c>
    </row>
    <row r="158" spans="1:3">
      <c r="A158" s="5">
        <v>134</v>
      </c>
      <c r="B158" s="5">
        <v>511130.53129972325</v>
      </c>
      <c r="C158" s="5">
        <v>-110298.88129972323</v>
      </c>
    </row>
    <row r="159" spans="1:3">
      <c r="A159" s="5">
        <v>135</v>
      </c>
      <c r="B159" s="5">
        <v>575493.69935476664</v>
      </c>
      <c r="C159" s="5">
        <v>17753.550645233365</v>
      </c>
    </row>
    <row r="160" spans="1:3">
      <c r="A160" s="5">
        <v>136</v>
      </c>
      <c r="B160" s="5">
        <v>516446.55792954669</v>
      </c>
      <c r="C160" s="5">
        <v>12629.392070453265</v>
      </c>
    </row>
    <row r="161" spans="1:3">
      <c r="A161" s="5">
        <v>137</v>
      </c>
      <c r="B161" s="5">
        <v>727838.89203494135</v>
      </c>
      <c r="C161" s="5">
        <v>-94200.862034941325</v>
      </c>
    </row>
    <row r="162" spans="1:3">
      <c r="A162" s="5">
        <v>138</v>
      </c>
      <c r="B162" s="5">
        <v>669184.2089515205</v>
      </c>
      <c r="C162" s="5">
        <v>74164.631048479467</v>
      </c>
    </row>
    <row r="163" spans="1:3">
      <c r="A163" s="5">
        <v>139</v>
      </c>
      <c r="B163" s="5">
        <v>679887.61827331258</v>
      </c>
      <c r="C163" s="5">
        <v>78940.021726687439</v>
      </c>
    </row>
    <row r="164" spans="1:3">
      <c r="A164" s="5">
        <v>140</v>
      </c>
      <c r="B164" s="5">
        <v>641391.0227459335</v>
      </c>
      <c r="C164" s="5">
        <v>5168.6872540664626</v>
      </c>
    </row>
    <row r="165" spans="1:3">
      <c r="A165" s="5">
        <v>141</v>
      </c>
      <c r="B165" s="5">
        <v>675713.28863781365</v>
      </c>
      <c r="C165" s="5">
        <v>40177.241362186382</v>
      </c>
    </row>
    <row r="166" spans="1:3">
      <c r="A166" s="5">
        <v>142</v>
      </c>
      <c r="B166" s="5">
        <v>685596.10324493505</v>
      </c>
      <c r="C166" s="5">
        <v>29501.466755064903</v>
      </c>
    </row>
    <row r="167" spans="1:3">
      <c r="A167" s="5">
        <v>143</v>
      </c>
      <c r="B167" s="5">
        <v>647813.06833900884</v>
      </c>
      <c r="C167" s="5">
        <v>34826.21166099119</v>
      </c>
    </row>
    <row r="168" spans="1:3">
      <c r="A168" s="5">
        <v>144</v>
      </c>
      <c r="B168" s="5">
        <v>663654.11413526116</v>
      </c>
      <c r="C168" s="5">
        <v>31444.39586473885</v>
      </c>
    </row>
    <row r="169" spans="1:3">
      <c r="A169" s="5">
        <v>145</v>
      </c>
      <c r="B169" s="5">
        <v>600254.25291917915</v>
      </c>
      <c r="C169" s="5">
        <v>-22521.682919179206</v>
      </c>
    </row>
    <row r="170" spans="1:3">
      <c r="A170" s="5">
        <v>146</v>
      </c>
      <c r="B170" s="5">
        <v>558867.73687491613</v>
      </c>
      <c r="C170" s="5">
        <v>-21809.406874916167</v>
      </c>
    </row>
    <row r="171" spans="1:3">
      <c r="A171" s="5">
        <v>147</v>
      </c>
      <c r="B171" s="5">
        <v>598363.31727232912</v>
      </c>
      <c r="C171" s="5">
        <v>3205.5527276708744</v>
      </c>
    </row>
    <row r="172" spans="1:3">
      <c r="A172" s="5">
        <v>148</v>
      </c>
      <c r="B172" s="5">
        <v>565931.98702729901</v>
      </c>
      <c r="C172" s="5">
        <v>5032.8529727009591</v>
      </c>
    </row>
    <row r="173" spans="1:3">
      <c r="A173" s="5">
        <v>149</v>
      </c>
      <c r="B173" s="5">
        <v>636538.81052005442</v>
      </c>
      <c r="C173" s="5">
        <v>-22513.900520054391</v>
      </c>
    </row>
    <row r="174" spans="1:3">
      <c r="A174" s="5">
        <v>150</v>
      </c>
      <c r="B174" s="5">
        <v>680137.36449082103</v>
      </c>
      <c r="C174" s="5">
        <v>32730.98550917895</v>
      </c>
    </row>
    <row r="175" spans="1:3">
      <c r="A175" s="5">
        <v>151</v>
      </c>
      <c r="B175" s="5">
        <v>644423.65538710798</v>
      </c>
      <c r="C175" s="5">
        <v>52320.494612892042</v>
      </c>
    </row>
    <row r="176" spans="1:3">
      <c r="A176" s="5">
        <v>152</v>
      </c>
      <c r="B176" s="5">
        <v>657303.42460433114</v>
      </c>
      <c r="C176" s="5">
        <v>68544.565395668847</v>
      </c>
    </row>
    <row r="177" spans="1:3">
      <c r="A177" s="5">
        <v>153</v>
      </c>
      <c r="B177" s="5">
        <v>791559.85553067725</v>
      </c>
      <c r="C177" s="5">
        <v>-6531.6055306772469</v>
      </c>
    </row>
    <row r="178" spans="1:3">
      <c r="A178" s="5">
        <v>154</v>
      </c>
      <c r="B178" s="5">
        <v>686880.51236355014</v>
      </c>
      <c r="C178" s="5">
        <v>11612.157636449905</v>
      </c>
    </row>
    <row r="179" spans="1:3">
      <c r="A179" s="5">
        <v>155</v>
      </c>
      <c r="B179" s="5">
        <v>722736.93359155371</v>
      </c>
      <c r="C179" s="5">
        <v>-36906.693591553718</v>
      </c>
    </row>
    <row r="180" spans="1:3">
      <c r="A180" s="5">
        <v>156</v>
      </c>
      <c r="B180" s="5">
        <v>720881.67597577651</v>
      </c>
      <c r="C180" s="5">
        <v>-18562.735975776566</v>
      </c>
    </row>
    <row r="181" spans="1:3">
      <c r="A181" s="5">
        <v>157</v>
      </c>
      <c r="B181" s="5">
        <v>675606.25454459572</v>
      </c>
      <c r="C181" s="5">
        <v>24472.065455404227</v>
      </c>
    </row>
    <row r="182" spans="1:3">
      <c r="A182" s="5">
        <v>158</v>
      </c>
      <c r="B182" s="5">
        <v>639071.95072621189</v>
      </c>
      <c r="C182" s="5">
        <v>-37069.630726211937</v>
      </c>
    </row>
    <row r="183" spans="1:3">
      <c r="A183" s="5">
        <v>159</v>
      </c>
      <c r="B183" s="5">
        <v>696691.97090852621</v>
      </c>
      <c r="C183" s="5">
        <v>27524.099091473734</v>
      </c>
    </row>
    <row r="184" spans="1:3">
      <c r="A184" s="5">
        <v>160</v>
      </c>
      <c r="B184" s="5">
        <v>583663.96847040125</v>
      </c>
      <c r="C184" s="5">
        <v>37309.061529598781</v>
      </c>
    </row>
    <row r="185" spans="1:3">
      <c r="A185" s="5">
        <v>161</v>
      </c>
      <c r="B185" s="5">
        <v>712390.30458048801</v>
      </c>
      <c r="C185" s="5">
        <v>-61910.244580487953</v>
      </c>
    </row>
    <row r="186" spans="1:3">
      <c r="A186" s="5">
        <v>162</v>
      </c>
      <c r="B186" s="5">
        <v>695871.37619385554</v>
      </c>
      <c r="C186" s="5">
        <v>82427.503806144465</v>
      </c>
    </row>
    <row r="187" spans="1:3">
      <c r="A187" s="5">
        <v>163</v>
      </c>
      <c r="B187" s="5">
        <v>733190.59669583745</v>
      </c>
      <c r="C187" s="5">
        <v>-56093.886695837486</v>
      </c>
    </row>
    <row r="188" spans="1:3">
      <c r="A188" s="5">
        <v>164</v>
      </c>
      <c r="B188" s="5">
        <v>662441.06107879139</v>
      </c>
      <c r="C188" s="5">
        <v>29567.578921208624</v>
      </c>
    </row>
    <row r="189" spans="1:3">
      <c r="A189" s="5">
        <v>165</v>
      </c>
      <c r="B189" s="5">
        <v>779036.86662418046</v>
      </c>
      <c r="C189" s="5">
        <v>46761.043375819572</v>
      </c>
    </row>
    <row r="190" spans="1:3">
      <c r="A190" s="5">
        <v>166</v>
      </c>
      <c r="B190" s="5">
        <v>759984.79803139041</v>
      </c>
      <c r="C190" s="5">
        <v>-53699.278031390393</v>
      </c>
    </row>
    <row r="191" spans="1:3">
      <c r="A191" s="5">
        <v>167</v>
      </c>
      <c r="B191" s="5">
        <v>693980.44054700551</v>
      </c>
      <c r="C191" s="5">
        <v>-28445.740547005553</v>
      </c>
    </row>
    <row r="192" spans="1:3">
      <c r="A192" s="5">
        <v>168</v>
      </c>
      <c r="B192" s="5">
        <v>783211.19625967939</v>
      </c>
      <c r="C192" s="5">
        <v>37518.093740320648</v>
      </c>
    </row>
    <row r="193" spans="1:3">
      <c r="A193" s="5">
        <v>169</v>
      </c>
      <c r="B193" s="5">
        <v>780856.44620888517</v>
      </c>
      <c r="C193" s="5">
        <v>-41024.716208885191</v>
      </c>
    </row>
    <row r="194" spans="1:3">
      <c r="A194" s="5">
        <v>170</v>
      </c>
      <c r="B194" s="5">
        <v>716707.34634027747</v>
      </c>
      <c r="C194" s="5">
        <v>-123070.20634027745</v>
      </c>
    </row>
    <row r="195" spans="1:3">
      <c r="A195" s="5">
        <v>171</v>
      </c>
      <c r="B195" s="5">
        <v>765693.28300301288</v>
      </c>
      <c r="C195" s="5">
        <v>4009.4769969871268</v>
      </c>
    </row>
    <row r="196" spans="1:3">
      <c r="A196" s="5">
        <v>172</v>
      </c>
      <c r="B196" s="5">
        <v>720096.75929217832</v>
      </c>
      <c r="C196" s="5">
        <v>-40365.189292178373</v>
      </c>
    </row>
    <row r="197" spans="1:3">
      <c r="A197" s="5">
        <v>173</v>
      </c>
      <c r="B197" s="5">
        <v>758272.25253990362</v>
      </c>
      <c r="C197" s="5">
        <v>22071.927460096427</v>
      </c>
    </row>
    <row r="198" spans="1:3">
      <c r="A198" s="5">
        <v>174</v>
      </c>
      <c r="B198" s="5">
        <v>784638.31750258501</v>
      </c>
      <c r="C198" s="5">
        <v>-63274.207502585021</v>
      </c>
    </row>
    <row r="199" spans="1:3">
      <c r="A199" s="5">
        <v>175</v>
      </c>
      <c r="B199" s="5">
        <v>796982.91625371855</v>
      </c>
      <c r="C199" s="5">
        <v>-38844.62625371851</v>
      </c>
    </row>
    <row r="200" spans="1:3">
      <c r="A200" s="5">
        <v>176</v>
      </c>
      <c r="B200" s="5">
        <v>817533.46215155954</v>
      </c>
      <c r="C200" s="5">
        <v>-13269.462151559535</v>
      </c>
    </row>
    <row r="201" spans="1:3">
      <c r="A201" s="5">
        <v>177</v>
      </c>
      <c r="B201" s="5">
        <v>887426.7250228622</v>
      </c>
      <c r="C201" s="5">
        <v>111.02497713780031</v>
      </c>
    </row>
    <row r="202" spans="1:3">
      <c r="A202" s="5">
        <v>178</v>
      </c>
      <c r="B202" s="5">
        <v>729158.97918462905</v>
      </c>
      <c r="C202" s="5">
        <v>54423.020815370954</v>
      </c>
    </row>
    <row r="203" spans="1:3">
      <c r="A203" s="5">
        <v>179</v>
      </c>
      <c r="B203" s="5">
        <v>762874.71854827437</v>
      </c>
      <c r="C203" s="5">
        <v>19080.801451725652</v>
      </c>
    </row>
    <row r="204" spans="1:3">
      <c r="A204" s="5">
        <v>180</v>
      </c>
      <c r="B204" s="5">
        <v>803155.21562928543</v>
      </c>
      <c r="C204" s="5">
        <v>94875.824370714603</v>
      </c>
    </row>
    <row r="205" spans="1:3">
      <c r="A205" s="5">
        <v>181</v>
      </c>
      <c r="B205" s="5">
        <v>844363.3415181851</v>
      </c>
      <c r="C205" s="5">
        <v>10977.938481814926</v>
      </c>
    </row>
    <row r="206" spans="1:3">
      <c r="A206" s="5">
        <v>182</v>
      </c>
      <c r="B206" s="5">
        <v>777752.45750556537</v>
      </c>
      <c r="C206" s="5">
        <v>-26358.577505565365</v>
      </c>
    </row>
    <row r="207" spans="1:3">
      <c r="A207" s="5">
        <v>183</v>
      </c>
      <c r="B207" s="5">
        <v>796483.42381870165</v>
      </c>
      <c r="C207" s="5">
        <v>-35406.343818701687</v>
      </c>
    </row>
    <row r="208" spans="1:3">
      <c r="A208" s="5">
        <v>184</v>
      </c>
      <c r="B208" s="5">
        <v>829628.31468518462</v>
      </c>
      <c r="C208" s="5">
        <v>-9967.7246851846576</v>
      </c>
    </row>
    <row r="209" spans="1:3">
      <c r="A209" s="5">
        <v>185</v>
      </c>
      <c r="B209" s="5">
        <v>663475.72397989803</v>
      </c>
      <c r="C209" s="5">
        <v>18379.836020102026</v>
      </c>
    </row>
    <row r="210" spans="1:3">
      <c r="A210" s="5">
        <v>186</v>
      </c>
      <c r="B210" s="5">
        <v>633791.60212746111</v>
      </c>
      <c r="C210" s="5">
        <v>44519.56787253893</v>
      </c>
    </row>
    <row r="211" spans="1:3">
      <c r="A211" s="5">
        <v>187</v>
      </c>
      <c r="B211" s="5">
        <v>678888.63340327865</v>
      </c>
      <c r="C211" s="5">
        <v>87018.316596721299</v>
      </c>
    </row>
    <row r="212" spans="1:3">
      <c r="A212" s="5">
        <v>188</v>
      </c>
      <c r="B212" s="5">
        <v>729408.7254021375</v>
      </c>
      <c r="C212" s="5">
        <v>-16862.345402137493</v>
      </c>
    </row>
    <row r="213" spans="1:3">
      <c r="A213" s="5">
        <v>189</v>
      </c>
      <c r="B213" s="5">
        <v>571497.75987463084</v>
      </c>
      <c r="C213" s="5">
        <v>54496.070125369122</v>
      </c>
    </row>
    <row r="214" spans="1:3">
      <c r="A214" s="5">
        <v>190</v>
      </c>
      <c r="B214" s="5">
        <v>528898.19077389815</v>
      </c>
      <c r="C214" s="5">
        <v>22064.739226101898</v>
      </c>
    </row>
    <row r="215" spans="1:3">
      <c r="A215" s="5">
        <v>191</v>
      </c>
      <c r="B215" s="5">
        <v>491650.32633406157</v>
      </c>
      <c r="C215" s="5">
        <v>-48374.736334061541</v>
      </c>
    </row>
    <row r="216" spans="1:3">
      <c r="A216" s="5">
        <v>192</v>
      </c>
      <c r="B216" s="5">
        <v>604214.51436824212</v>
      </c>
      <c r="C216" s="5">
        <v>-50202.44436824217</v>
      </c>
    </row>
    <row r="217" spans="1:3">
      <c r="A217" s="5">
        <v>193</v>
      </c>
      <c r="B217" s="5">
        <v>666793.78086965356</v>
      </c>
      <c r="C217" s="5">
        <v>-23364.930869653588</v>
      </c>
    </row>
    <row r="218" spans="1:3">
      <c r="A218" s="5">
        <v>194</v>
      </c>
      <c r="B218" s="5">
        <v>630152.4429580518</v>
      </c>
      <c r="C218" s="5">
        <v>-18228.172958051786</v>
      </c>
    </row>
    <row r="219" spans="1:3">
      <c r="A219" s="5">
        <v>195</v>
      </c>
      <c r="B219" s="5">
        <v>581380.57448175224</v>
      </c>
      <c r="C219" s="5">
        <v>-21958.554481752217</v>
      </c>
    </row>
    <row r="220" spans="1:3">
      <c r="A220" s="5">
        <v>196</v>
      </c>
      <c r="B220" s="5">
        <v>558261.2103466813</v>
      </c>
      <c r="C220" s="5">
        <v>-108796.1503466813</v>
      </c>
    </row>
    <row r="221" spans="1:3">
      <c r="A221" s="5">
        <v>197</v>
      </c>
      <c r="B221" s="5">
        <v>623730.39736497658</v>
      </c>
      <c r="C221" s="5">
        <v>67717.032635023468</v>
      </c>
    </row>
    <row r="222" spans="1:3">
      <c r="A222" s="5">
        <v>198</v>
      </c>
      <c r="B222" s="5">
        <v>602180.86659710167</v>
      </c>
      <c r="C222" s="5">
        <v>-28114.256597101688</v>
      </c>
    </row>
    <row r="223" spans="1:3">
      <c r="A223" s="5">
        <v>199</v>
      </c>
      <c r="B223" s="5">
        <v>625228.87467002741</v>
      </c>
      <c r="C223" s="5">
        <v>-46279.034670027439</v>
      </c>
    </row>
    <row r="224" spans="1:3">
      <c r="A224" s="5">
        <v>200</v>
      </c>
      <c r="B224" s="5">
        <v>645315.60616392398</v>
      </c>
      <c r="C224" s="5">
        <v>90471.033836076036</v>
      </c>
    </row>
    <row r="225" spans="1:3">
      <c r="A225" s="5">
        <v>201</v>
      </c>
      <c r="B225" s="5">
        <v>658873.2579715274</v>
      </c>
      <c r="C225" s="5">
        <v>-59968.357971527381</v>
      </c>
    </row>
    <row r="226" spans="1:3">
      <c r="A226" s="5">
        <v>202</v>
      </c>
      <c r="B226" s="5">
        <v>674357.52345705335</v>
      </c>
      <c r="C226" s="5">
        <v>113357.98654294666</v>
      </c>
    </row>
    <row r="227" spans="1:3">
      <c r="A227" s="5">
        <v>203</v>
      </c>
      <c r="B227" s="5">
        <v>692446.28521088208</v>
      </c>
      <c r="C227" s="5">
        <v>-85361.365210882039</v>
      </c>
    </row>
    <row r="228" spans="1:3">
      <c r="A228" s="5">
        <v>204</v>
      </c>
      <c r="B228" s="5">
        <v>661013.93983588577</v>
      </c>
      <c r="C228" s="5">
        <v>-10218.449835885782</v>
      </c>
    </row>
    <row r="229" spans="1:3">
      <c r="A229" s="5">
        <v>205</v>
      </c>
      <c r="B229" s="5">
        <v>784495.60537829436</v>
      </c>
      <c r="C229" s="5">
        <v>40564.914621705655</v>
      </c>
    </row>
    <row r="230" spans="1:3">
      <c r="A230" s="5">
        <v>206</v>
      </c>
      <c r="B230" s="5">
        <v>727375.07763099705</v>
      </c>
      <c r="C230" s="5">
        <v>68089.392369002919</v>
      </c>
    </row>
    <row r="231" spans="1:3">
      <c r="A231" s="5">
        <v>207</v>
      </c>
      <c r="B231" s="5">
        <v>777609.74538127473</v>
      </c>
      <c r="C231" s="5">
        <v>-105741.15538127476</v>
      </c>
    </row>
    <row r="232" spans="1:3">
      <c r="A232" s="5">
        <v>208</v>
      </c>
      <c r="B232" s="5">
        <v>742645.27493008715</v>
      </c>
      <c r="C232" s="5">
        <v>-66727.644930087146</v>
      </c>
    </row>
    <row r="233" spans="1:3">
      <c r="A233" s="5">
        <v>209</v>
      </c>
      <c r="B233" s="5">
        <v>807650.64754443802</v>
      </c>
      <c r="C233" s="5">
        <v>2795.8824555620085</v>
      </c>
    </row>
    <row r="234" spans="1:3">
      <c r="A234" s="5">
        <v>210</v>
      </c>
      <c r="B234" s="5">
        <v>783853.40081898682</v>
      </c>
      <c r="C234" s="5">
        <v>-92565.210818986874</v>
      </c>
    </row>
    <row r="235" spans="1:3">
      <c r="A235" s="5">
        <v>211</v>
      </c>
      <c r="B235" s="5">
        <v>905586.84283883614</v>
      </c>
      <c r="C235" s="5">
        <v>41246.697161163902</v>
      </c>
    </row>
    <row r="236" spans="1:3">
      <c r="A236" s="5">
        <v>212</v>
      </c>
      <c r="B236" s="5">
        <v>794342.74195434316</v>
      </c>
      <c r="C236" s="5">
        <v>-32379.511954343179</v>
      </c>
    </row>
    <row r="237" spans="1:3">
      <c r="A237" s="5">
        <v>213</v>
      </c>
      <c r="B237" s="5">
        <v>785530.268279401</v>
      </c>
      <c r="C237" s="5">
        <v>26622.331720598973</v>
      </c>
    </row>
    <row r="238" spans="1:3">
      <c r="A238" s="5">
        <v>214</v>
      </c>
      <c r="B238" s="5">
        <v>782212.21138964547</v>
      </c>
      <c r="C238" s="5">
        <v>22763.288610354532</v>
      </c>
    </row>
    <row r="239" spans="1:3">
      <c r="A239" s="5">
        <v>215</v>
      </c>
      <c r="B239" s="5">
        <v>790489.514598498</v>
      </c>
      <c r="C239" s="5">
        <v>-38167.794598498032</v>
      </c>
    </row>
    <row r="240" spans="1:3">
      <c r="A240" s="5">
        <v>216</v>
      </c>
      <c r="B240" s="5">
        <v>846860.80369326996</v>
      </c>
      <c r="C240" s="5">
        <v>-9952.5636932699708</v>
      </c>
    </row>
    <row r="241" spans="1:3">
      <c r="A241" s="5">
        <v>217</v>
      </c>
      <c r="B241" s="5">
        <v>638857.88253977604</v>
      </c>
      <c r="C241" s="5">
        <v>35431.217460223939</v>
      </c>
    </row>
    <row r="242" spans="1:3">
      <c r="A242" s="5">
        <v>218</v>
      </c>
      <c r="B242" s="5">
        <v>625300.23073217273</v>
      </c>
      <c r="C242" s="5">
        <v>-2407.8107321726857</v>
      </c>
    </row>
    <row r="243" spans="1:3">
      <c r="A243" s="5">
        <v>219</v>
      </c>
      <c r="B243" s="5">
        <v>605784.34773543838</v>
      </c>
      <c r="C243" s="5">
        <v>67564.212264561676</v>
      </c>
    </row>
    <row r="244" spans="1:3">
      <c r="A244" s="5">
        <v>220</v>
      </c>
      <c r="B244" s="5">
        <v>613312.41229176545</v>
      </c>
      <c r="C244" s="5">
        <v>-7034.1122917653993</v>
      </c>
    </row>
    <row r="245" spans="1:3">
      <c r="A245" s="5">
        <v>221</v>
      </c>
      <c r="B245" s="5">
        <v>706539.10748457501</v>
      </c>
      <c r="C245" s="5">
        <v>5680.7025154250441</v>
      </c>
    </row>
    <row r="246" spans="1:3">
      <c r="A246" s="5">
        <v>222</v>
      </c>
      <c r="B246" s="5">
        <v>710570.72499578341</v>
      </c>
      <c r="C246" s="5">
        <v>-37900.184995783377</v>
      </c>
    </row>
    <row r="247" spans="1:3">
      <c r="A247" s="5">
        <v>223</v>
      </c>
      <c r="B247" s="5">
        <v>727553.4677863603</v>
      </c>
      <c r="C247" s="5">
        <v>5114.4522136397427</v>
      </c>
    </row>
    <row r="248" spans="1:3">
      <c r="A248" s="5">
        <v>224</v>
      </c>
      <c r="B248" s="5">
        <v>759413.94953422819</v>
      </c>
      <c r="C248" s="5">
        <v>-35882.549534228165</v>
      </c>
    </row>
    <row r="249" spans="1:3">
      <c r="A249" s="5">
        <v>225</v>
      </c>
      <c r="B249" s="5">
        <v>614561.14337930793</v>
      </c>
      <c r="C249" s="5">
        <v>27003.456620692043</v>
      </c>
    </row>
    <row r="250" spans="1:3">
      <c r="A250" s="5">
        <v>226</v>
      </c>
      <c r="B250" s="5">
        <v>547807.54724239768</v>
      </c>
      <c r="C250" s="5">
        <v>-11262.057242397685</v>
      </c>
    </row>
    <row r="251" spans="1:3">
      <c r="A251" s="5">
        <v>227</v>
      </c>
      <c r="B251" s="5">
        <v>584555.91924721724</v>
      </c>
      <c r="C251" s="5">
        <v>-56874.359247217188</v>
      </c>
    </row>
    <row r="252" spans="1:3">
      <c r="A252" s="5">
        <v>228</v>
      </c>
      <c r="B252" s="5">
        <v>495467.87565883406</v>
      </c>
      <c r="C252" s="5">
        <v>34131.064341165882</v>
      </c>
    </row>
    <row r="253" spans="1:3">
      <c r="A253" s="5">
        <v>229</v>
      </c>
      <c r="B253" s="5">
        <v>658944.61403367261</v>
      </c>
      <c r="C253" s="5">
        <v>-87981.304033672553</v>
      </c>
    </row>
    <row r="254" spans="1:3">
      <c r="A254" s="5">
        <v>230</v>
      </c>
      <c r="B254" s="5">
        <v>766121.41937588458</v>
      </c>
      <c r="C254" s="5">
        <v>104815.98062411544</v>
      </c>
    </row>
    <row r="255" spans="1:3">
      <c r="A255" s="5">
        <v>231</v>
      </c>
      <c r="B255" s="5">
        <v>679923.29630438518</v>
      </c>
      <c r="C255" s="5">
        <v>-82954.026304385159</v>
      </c>
    </row>
    <row r="256" spans="1:3">
      <c r="A256" s="5">
        <v>232</v>
      </c>
      <c r="B256" s="5">
        <v>641105.59849735245</v>
      </c>
      <c r="C256" s="5">
        <v>6407.2515026475303</v>
      </c>
    </row>
    <row r="257" spans="1:3">
      <c r="A257" s="5">
        <v>233</v>
      </c>
      <c r="B257" s="5">
        <v>598541.70742769237</v>
      </c>
      <c r="C257" s="5">
        <v>59530.432572307647</v>
      </c>
    </row>
    <row r="258" spans="1:3">
      <c r="A258" s="5">
        <v>234</v>
      </c>
      <c r="B258" s="5">
        <v>636253.38627147325</v>
      </c>
      <c r="C258" s="5">
        <v>87051.723728526733</v>
      </c>
    </row>
    <row r="259" spans="1:3">
      <c r="A259" s="5">
        <v>235</v>
      </c>
      <c r="B259" s="5">
        <v>641890.51518095052</v>
      </c>
      <c r="C259" s="5">
        <v>-1223.9851809504908</v>
      </c>
    </row>
    <row r="260" spans="1:3">
      <c r="A260" s="5">
        <v>236</v>
      </c>
      <c r="B260" s="5">
        <v>666508.35662107239</v>
      </c>
      <c r="C260" s="5">
        <v>4121.1233789275866</v>
      </c>
    </row>
    <row r="261" spans="1:3">
      <c r="A261" s="5">
        <v>237</v>
      </c>
      <c r="B261" s="5">
        <v>799908.5148016751</v>
      </c>
      <c r="C261" s="5">
        <v>-78829.164801675128</v>
      </c>
    </row>
    <row r="262" spans="1:3">
      <c r="A262" s="5">
        <v>238</v>
      </c>
      <c r="B262" s="5">
        <v>803048.18153606751</v>
      </c>
      <c r="C262" s="5">
        <v>7306.8384639325086</v>
      </c>
    </row>
    <row r="263" spans="1:3">
      <c r="A263" s="5">
        <v>239</v>
      </c>
      <c r="B263" s="5">
        <v>792558.84040071117</v>
      </c>
      <c r="C263" s="5">
        <v>-30639.590400711168</v>
      </c>
    </row>
    <row r="264" spans="1:3">
      <c r="A264" s="5">
        <v>240</v>
      </c>
      <c r="B264" s="5">
        <v>778715.76434452669</v>
      </c>
      <c r="C264" s="5">
        <v>-41645.584344526636</v>
      </c>
    </row>
    <row r="265" spans="1:3">
      <c r="A265" s="5">
        <v>241</v>
      </c>
      <c r="B265" s="5">
        <v>733797.12322407239</v>
      </c>
      <c r="C265" s="5">
        <v>43195.80677592766</v>
      </c>
    </row>
    <row r="266" spans="1:3">
      <c r="A266" s="5">
        <v>242</v>
      </c>
      <c r="B266" s="5">
        <v>647920.10243222676</v>
      </c>
      <c r="C266" s="5">
        <v>28417.30756777327</v>
      </c>
    </row>
    <row r="267" spans="1:3">
      <c r="A267" s="5">
        <v>243</v>
      </c>
      <c r="B267" s="5">
        <v>805902.42402187875</v>
      </c>
      <c r="C267" s="5">
        <v>22317.245978121297</v>
      </c>
    </row>
    <row r="268" spans="1:3">
      <c r="A268" s="5">
        <v>244</v>
      </c>
      <c r="B268" s="5">
        <v>731977.54363936768</v>
      </c>
      <c r="C268" s="5">
        <v>31182.376360632363</v>
      </c>
    </row>
    <row r="269" spans="1:3">
      <c r="A269" s="5">
        <v>245</v>
      </c>
      <c r="B269" s="5">
        <v>765158.11253692326</v>
      </c>
      <c r="C269" s="5">
        <v>36843.56746307679</v>
      </c>
    </row>
    <row r="270" spans="1:3">
      <c r="A270" s="5">
        <v>246</v>
      </c>
      <c r="B270" s="5">
        <v>757986.82829132257</v>
      </c>
      <c r="C270" s="5">
        <v>-7515.4882913226029</v>
      </c>
    </row>
    <row r="271" spans="1:3">
      <c r="A271" s="5">
        <v>247</v>
      </c>
      <c r="B271" s="5">
        <v>709500.38406360417</v>
      </c>
      <c r="C271" s="5">
        <v>-30269.524063604185</v>
      </c>
    </row>
    <row r="272" spans="1:3">
      <c r="A272" s="5">
        <v>248</v>
      </c>
      <c r="B272" s="5">
        <v>736080.51721272129</v>
      </c>
      <c r="C272" s="5">
        <v>-56191.777212721296</v>
      </c>
    </row>
    <row r="273" spans="1:3">
      <c r="A273" s="5">
        <v>249</v>
      </c>
      <c r="B273" s="5">
        <v>584662.95334043517</v>
      </c>
      <c r="C273" s="5">
        <v>22120.716659564874</v>
      </c>
    </row>
    <row r="274" spans="1:3">
      <c r="A274" s="5">
        <v>250</v>
      </c>
      <c r="B274" s="5">
        <v>652094.43206772569</v>
      </c>
      <c r="C274" s="5">
        <v>-9343.0120677256491</v>
      </c>
    </row>
    <row r="275" spans="1:3">
      <c r="A275" s="5">
        <v>251</v>
      </c>
      <c r="B275" s="5">
        <v>671967.09537518641</v>
      </c>
      <c r="C275" s="5">
        <v>-24013.315375186387</v>
      </c>
    </row>
    <row r="276" spans="1:3">
      <c r="A276" s="5">
        <v>252</v>
      </c>
      <c r="B276" s="5">
        <v>690448.31547081424</v>
      </c>
      <c r="C276" s="5">
        <v>38992.134529185714</v>
      </c>
    </row>
    <row r="277" spans="1:3">
      <c r="A277" s="5">
        <v>253</v>
      </c>
      <c r="B277" s="5">
        <v>688378.98966860096</v>
      </c>
      <c r="C277" s="5">
        <v>76570.01033139904</v>
      </c>
    </row>
    <row r="278" spans="1:3">
      <c r="A278" s="5">
        <v>254</v>
      </c>
      <c r="B278" s="5">
        <v>691019.16396797635</v>
      </c>
      <c r="C278" s="5">
        <v>108027.7760320236</v>
      </c>
    </row>
    <row r="279" spans="1:3">
      <c r="A279" s="5">
        <v>255</v>
      </c>
      <c r="B279" s="5">
        <v>647670.35621471819</v>
      </c>
      <c r="C279" s="5">
        <v>72409.183785281843</v>
      </c>
    </row>
    <row r="280" spans="1:3">
      <c r="A280" s="5">
        <v>256</v>
      </c>
      <c r="B280" s="5">
        <v>652879.34875132376</v>
      </c>
      <c r="C280" s="5">
        <v>-40489.208751323749</v>
      </c>
    </row>
    <row r="281" spans="1:3">
      <c r="A281" s="5">
        <v>257</v>
      </c>
      <c r="B281" s="5">
        <v>737721.70664206275</v>
      </c>
      <c r="C281" s="5">
        <v>102386.41335793724</v>
      </c>
    </row>
    <row r="282" spans="1:3">
      <c r="A282" s="5">
        <v>258</v>
      </c>
      <c r="B282" s="5">
        <v>716635.99027813226</v>
      </c>
      <c r="C282" s="5">
        <v>-18747.900278132292</v>
      </c>
    </row>
    <row r="283" spans="1:3">
      <c r="A283" s="5">
        <v>259</v>
      </c>
      <c r="B283" s="5">
        <v>754454.70321513107</v>
      </c>
      <c r="C283" s="5">
        <v>-8339.1132151311031</v>
      </c>
    </row>
    <row r="284" spans="1:3">
      <c r="A284" s="5">
        <v>260</v>
      </c>
      <c r="B284" s="5">
        <v>725983.63441916415</v>
      </c>
      <c r="C284" s="5">
        <v>50126.685580835794</v>
      </c>
    </row>
    <row r="285" spans="1:3">
      <c r="A285" s="5">
        <v>261</v>
      </c>
      <c r="B285" s="5">
        <v>555121.54361228889</v>
      </c>
      <c r="C285" s="5">
        <v>-26268.923612288898</v>
      </c>
    </row>
    <row r="286" spans="1:3">
      <c r="A286" s="5">
        <v>262</v>
      </c>
      <c r="B286" s="5">
        <v>617058.60555439279</v>
      </c>
      <c r="C286" s="5">
        <v>-11307.275554392836</v>
      </c>
    </row>
    <row r="287" spans="1:3">
      <c r="A287" s="5">
        <v>263</v>
      </c>
      <c r="B287" s="5">
        <v>621304.29125203693</v>
      </c>
      <c r="C287" s="5">
        <v>56336.358747963095</v>
      </c>
    </row>
    <row r="288" spans="1:3">
      <c r="A288" s="5">
        <v>264</v>
      </c>
      <c r="B288" s="5">
        <v>589907.62390811334</v>
      </c>
      <c r="C288" s="5">
        <v>46705.606091886642</v>
      </c>
    </row>
    <row r="289" spans="1:3">
      <c r="A289" s="5">
        <v>265</v>
      </c>
      <c r="B289" s="5">
        <v>707716.48250997218</v>
      </c>
      <c r="C289" s="5">
        <v>1268.7074900277657</v>
      </c>
    </row>
    <row r="290" spans="1:3">
      <c r="A290" s="5">
        <v>266</v>
      </c>
      <c r="B290" s="5">
        <v>736437.29752344778</v>
      </c>
      <c r="C290" s="5">
        <v>31355.642476552166</v>
      </c>
    </row>
    <row r="291" spans="1:3">
      <c r="A291" s="5">
        <v>267</v>
      </c>
      <c r="B291" s="5">
        <v>730728.81255182531</v>
      </c>
      <c r="C291" s="5">
        <v>14851.697448174702</v>
      </c>
    </row>
    <row r="292" spans="1:3">
      <c r="A292" s="5">
        <v>268</v>
      </c>
      <c r="B292" s="5">
        <v>704719.52789987042</v>
      </c>
      <c r="C292" s="5">
        <v>57608.78210012964</v>
      </c>
    </row>
    <row r="293" spans="1:3">
      <c r="A293" s="5">
        <v>269</v>
      </c>
      <c r="B293" s="5">
        <v>733690.08913085447</v>
      </c>
      <c r="C293" s="5">
        <v>-73056.099130854476</v>
      </c>
    </row>
    <row r="294" spans="1:3">
      <c r="A294" s="5">
        <v>270</v>
      </c>
      <c r="B294" s="5">
        <v>732477.03607438458</v>
      </c>
      <c r="C294" s="5">
        <v>6897.5239256154746</v>
      </c>
    </row>
    <row r="295" spans="1:3">
      <c r="A295" s="5">
        <v>271</v>
      </c>
      <c r="B295" s="5">
        <v>810041.07562630507</v>
      </c>
      <c r="C295" s="5">
        <v>-10284.615626305109</v>
      </c>
    </row>
    <row r="296" spans="1:3">
      <c r="A296" s="5">
        <v>272</v>
      </c>
      <c r="B296" s="5">
        <v>712069.20230083424</v>
      </c>
      <c r="C296" s="5">
        <v>-118726.20230083424</v>
      </c>
    </row>
    <row r="297" spans="1:3">
      <c r="A297" s="5">
        <v>273</v>
      </c>
      <c r="B297" s="5">
        <v>649382.90170620498</v>
      </c>
      <c r="C297" s="5">
        <v>-4342.9317062050104</v>
      </c>
    </row>
    <row r="298" spans="1:3">
      <c r="A298" s="5">
        <v>274</v>
      </c>
      <c r="B298" s="5">
        <v>565075.71428155561</v>
      </c>
      <c r="C298" s="5">
        <v>-3478.3842815556563</v>
      </c>
    </row>
    <row r="299" spans="1:3">
      <c r="A299" s="5">
        <v>275</v>
      </c>
      <c r="B299" s="5">
        <v>652165.78812987101</v>
      </c>
      <c r="C299" s="5">
        <v>-16328.048129871022</v>
      </c>
    </row>
    <row r="300" spans="1:3">
      <c r="A300" s="5">
        <v>276</v>
      </c>
      <c r="B300" s="5">
        <v>656661.2200450236</v>
      </c>
      <c r="C300" s="5">
        <v>30076.649954976398</v>
      </c>
    </row>
    <row r="301" spans="1:3">
      <c r="A301" s="5">
        <v>277</v>
      </c>
      <c r="B301" s="5">
        <v>751957.24104004633</v>
      </c>
      <c r="C301" s="5">
        <v>-78880.901040046359</v>
      </c>
    </row>
    <row r="302" spans="1:3">
      <c r="A302" s="5">
        <v>278</v>
      </c>
      <c r="B302" s="5">
        <v>731870.50954614975</v>
      </c>
      <c r="C302" s="5">
        <v>6677.910453850287</v>
      </c>
    </row>
    <row r="303" spans="1:3">
      <c r="A303" s="5">
        <v>279</v>
      </c>
      <c r="B303" s="5">
        <v>779072.54465525306</v>
      </c>
      <c r="C303" s="5">
        <v>-22452.774655253044</v>
      </c>
    </row>
    <row r="304" spans="1:3">
      <c r="A304" s="5">
        <v>280</v>
      </c>
      <c r="B304" s="5">
        <v>771401.76797463535</v>
      </c>
      <c r="C304" s="5">
        <v>-10279.347974635311</v>
      </c>
    </row>
    <row r="305" spans="1:3">
      <c r="A305" s="5">
        <v>281</v>
      </c>
      <c r="B305" s="5">
        <v>589907.62390811334</v>
      </c>
      <c r="C305" s="5">
        <v>-65008.05390811339</v>
      </c>
    </row>
    <row r="306" spans="1:3">
      <c r="A306" s="5">
        <v>282</v>
      </c>
      <c r="B306" s="5">
        <v>601788.40825530258</v>
      </c>
      <c r="C306" s="5">
        <v>-46230.638255302561</v>
      </c>
    </row>
    <row r="307" spans="1:3">
      <c r="A307" s="5">
        <v>283</v>
      </c>
      <c r="B307" s="5">
        <v>651380.87144627282</v>
      </c>
      <c r="C307" s="5">
        <v>62702.808553727227</v>
      </c>
    </row>
    <row r="308" spans="1:3">
      <c r="A308" s="5">
        <v>284</v>
      </c>
      <c r="B308" s="5">
        <v>554407.98299083614</v>
      </c>
      <c r="C308" s="5">
        <v>-56968.162990836136</v>
      </c>
    </row>
    <row r="309" spans="1:3">
      <c r="A309" s="5">
        <v>285</v>
      </c>
      <c r="B309" s="5">
        <v>644851.79175997968</v>
      </c>
      <c r="C309" s="5">
        <v>-8076.1317599796457</v>
      </c>
    </row>
    <row r="310" spans="1:3">
      <c r="A310" s="5">
        <v>286</v>
      </c>
      <c r="B310" s="5">
        <v>606497.90835689125</v>
      </c>
      <c r="C310" s="5">
        <v>26511.621643108781</v>
      </c>
    </row>
    <row r="311" spans="1:3">
      <c r="A311" s="5">
        <v>287</v>
      </c>
      <c r="B311" s="5">
        <v>594902.54825828306</v>
      </c>
      <c r="C311" s="5">
        <v>15046.451741716941</v>
      </c>
    </row>
    <row r="312" spans="1:3">
      <c r="A312" s="5">
        <v>288</v>
      </c>
      <c r="B312" s="5">
        <v>592476.4421453434</v>
      </c>
      <c r="C312" s="5">
        <v>-44372.742145343451</v>
      </c>
    </row>
    <row r="313" spans="1:3">
      <c r="A313" s="5">
        <v>289</v>
      </c>
      <c r="B313" s="5">
        <v>749102.99855423509</v>
      </c>
      <c r="C313" s="5">
        <v>-19678.57855423505</v>
      </c>
    </row>
    <row r="314" spans="1:3">
      <c r="A314" s="5">
        <v>290</v>
      </c>
      <c r="B314" s="5">
        <v>724485.15711411322</v>
      </c>
      <c r="C314" s="5">
        <v>-28223.667114113225</v>
      </c>
    </row>
    <row r="315" spans="1:3">
      <c r="A315" s="5">
        <v>291</v>
      </c>
      <c r="B315" s="5">
        <v>742538.24083686923</v>
      </c>
      <c r="C315" s="5">
        <v>70778.469163130736</v>
      </c>
    </row>
    <row r="316" spans="1:3">
      <c r="A316" s="5">
        <v>292</v>
      </c>
      <c r="B316" s="5">
        <v>699118.07702146587</v>
      </c>
      <c r="C316" s="5">
        <v>2950.8429785341723</v>
      </c>
    </row>
    <row r="317" spans="1:3">
      <c r="A317" s="5">
        <v>293</v>
      </c>
      <c r="B317" s="5">
        <v>583200.15406645695</v>
      </c>
      <c r="C317" s="5">
        <v>-36976.454066456994</v>
      </c>
    </row>
    <row r="318" spans="1:3">
      <c r="A318" s="5">
        <v>294</v>
      </c>
      <c r="B318" s="5">
        <v>530539.38020323962</v>
      </c>
      <c r="C318" s="5">
        <v>2581.8797967603896</v>
      </c>
    </row>
    <row r="319" spans="1:3">
      <c r="A319" s="5">
        <v>295</v>
      </c>
      <c r="B319" s="5">
        <v>490330.23918437387</v>
      </c>
      <c r="C319" s="5">
        <v>8640.0808156261337</v>
      </c>
    </row>
    <row r="320" spans="1:3">
      <c r="A320" s="5">
        <v>296</v>
      </c>
      <c r="B320" s="5">
        <v>507883.83047211292</v>
      </c>
      <c r="C320" s="5">
        <v>-20145.570472112915</v>
      </c>
    </row>
    <row r="321" spans="1:3">
      <c r="A321" s="5">
        <v>297</v>
      </c>
      <c r="B321" s="5">
        <v>656768.25413824152</v>
      </c>
      <c r="C321" s="5">
        <v>11691.115861758473</v>
      </c>
    </row>
    <row r="322" spans="1:3">
      <c r="A322" s="5">
        <v>298</v>
      </c>
      <c r="B322" s="5">
        <v>657018.00035575009</v>
      </c>
      <c r="C322" s="5">
        <v>106144.44964424986</v>
      </c>
    </row>
    <row r="323" spans="1:3">
      <c r="A323" s="5">
        <v>299</v>
      </c>
      <c r="B323" s="5">
        <v>621161.5791277464</v>
      </c>
      <c r="C323" s="5">
        <v>-22144.249127746443</v>
      </c>
    </row>
    <row r="324" spans="1:3">
      <c r="A324" s="5">
        <v>300</v>
      </c>
      <c r="B324" s="5">
        <v>498571.86436215381</v>
      </c>
      <c r="C324" s="5">
        <v>-96989.28436215379</v>
      </c>
    </row>
    <row r="325" spans="1:3">
      <c r="A325" s="5">
        <v>301</v>
      </c>
      <c r="B325" s="5">
        <v>740825.69534538244</v>
      </c>
      <c r="C325" s="5">
        <v>-37012.705345382448</v>
      </c>
    </row>
    <row r="326" spans="1:3">
      <c r="A326" s="5">
        <v>302</v>
      </c>
      <c r="B326" s="5">
        <v>731442.37317327806</v>
      </c>
      <c r="C326" s="5">
        <v>-7095.6431732780766</v>
      </c>
    </row>
    <row r="327" spans="1:3">
      <c r="A327" s="5">
        <v>303</v>
      </c>
      <c r="B327" s="5">
        <v>741396.54384254478</v>
      </c>
      <c r="C327" s="5">
        <v>-10506.53384254477</v>
      </c>
    </row>
    <row r="328" spans="1:3">
      <c r="A328" s="5">
        <v>304</v>
      </c>
      <c r="B328" s="5">
        <v>738363.9112013703</v>
      </c>
      <c r="C328" s="5">
        <v>42217.038798629656</v>
      </c>
    </row>
    <row r="329" spans="1:3">
      <c r="A329" s="5">
        <v>305</v>
      </c>
      <c r="B329" s="5">
        <v>679530.8379625862</v>
      </c>
      <c r="C329" s="5">
        <v>48426.642037413782</v>
      </c>
    </row>
    <row r="330" spans="1:3">
      <c r="A330" s="5">
        <v>306</v>
      </c>
      <c r="B330" s="5">
        <v>653485.87527955859</v>
      </c>
      <c r="C330" s="5">
        <v>-115109.87527955859</v>
      </c>
    </row>
    <row r="331" spans="1:3">
      <c r="A331" s="5">
        <v>307</v>
      </c>
      <c r="B331" s="5">
        <v>671217.85672266094</v>
      </c>
      <c r="C331" s="5">
        <v>-5875.3667226609541</v>
      </c>
    </row>
    <row r="332" spans="1:3">
      <c r="A332" s="5">
        <v>308</v>
      </c>
      <c r="B332" s="5">
        <v>674714.30376777973</v>
      </c>
      <c r="C332" s="5">
        <v>-23550.123767779674</v>
      </c>
    </row>
    <row r="333" spans="1:3">
      <c r="A333" s="5">
        <v>309</v>
      </c>
      <c r="B333" s="5">
        <v>651880.36388128984</v>
      </c>
      <c r="C333" s="5">
        <v>-23342.063881289796</v>
      </c>
    </row>
    <row r="334" spans="1:3">
      <c r="A334" s="5">
        <v>310</v>
      </c>
      <c r="B334" s="5">
        <v>634968.97715285828</v>
      </c>
      <c r="C334" s="5">
        <v>-98444.137152858311</v>
      </c>
    </row>
    <row r="335" spans="1:3">
      <c r="A335" s="5">
        <v>311</v>
      </c>
      <c r="B335" s="5">
        <v>640285.00378268166</v>
      </c>
      <c r="C335" s="5">
        <v>-18607.703782681609</v>
      </c>
    </row>
    <row r="336" spans="1:3">
      <c r="A336" s="5">
        <v>312</v>
      </c>
      <c r="B336" s="5">
        <v>713246.5773262314</v>
      </c>
      <c r="C336" s="5">
        <v>57882.492673768546</v>
      </c>
    </row>
    <row r="337" spans="1:3">
      <c r="A337" s="5">
        <v>313</v>
      </c>
      <c r="B337" s="5">
        <v>666329.96646570927</v>
      </c>
      <c r="C337" s="5">
        <v>35722.503534290707</v>
      </c>
    </row>
    <row r="338" spans="1:3">
      <c r="A338" s="5">
        <v>314</v>
      </c>
      <c r="B338" s="5">
        <v>730871.52467611583</v>
      </c>
      <c r="C338" s="5">
        <v>-42503.064676115871</v>
      </c>
    </row>
    <row r="339" spans="1:3">
      <c r="A339" s="5">
        <v>315</v>
      </c>
      <c r="B339" s="5">
        <v>660478.76936979615</v>
      </c>
      <c r="C339" s="5">
        <v>51897.000630203867</v>
      </c>
    </row>
    <row r="340" spans="1:3">
      <c r="A340" s="5">
        <v>316</v>
      </c>
      <c r="B340" s="5">
        <v>802013.51863496087</v>
      </c>
      <c r="C340" s="5">
        <v>42697.151365039172</v>
      </c>
    </row>
    <row r="341" spans="1:3">
      <c r="A341" s="5">
        <v>317</v>
      </c>
      <c r="B341" s="5">
        <v>647599.00015257299</v>
      </c>
      <c r="C341" s="5">
        <v>-27334.800152573036</v>
      </c>
    </row>
    <row r="342" spans="1:3">
      <c r="A342" s="5">
        <v>318</v>
      </c>
      <c r="B342" s="5">
        <v>570070.63863172522</v>
      </c>
      <c r="C342" s="5">
        <v>-33225.218631725176</v>
      </c>
    </row>
    <row r="343" spans="1:3">
      <c r="A343" s="5">
        <v>319</v>
      </c>
      <c r="B343" s="5">
        <v>723807.27452373295</v>
      </c>
      <c r="C343" s="5">
        <v>2968.9454762670211</v>
      </c>
    </row>
    <row r="344" spans="1:3" ht="15" thickBot="1">
      <c r="A344" s="6">
        <v>320</v>
      </c>
      <c r="B344" s="6">
        <v>636110.67414718273</v>
      </c>
      <c r="C344" s="6">
        <v>-76449.834147182759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57F5-A419-4567-B02D-4050FD32A05A}">
  <dimension ref="A1:P347"/>
  <sheetViews>
    <sheetView topLeftCell="D332" zoomScale="77" workbookViewId="0">
      <selection activeCell="H25" sqref="H25:J347"/>
    </sheetView>
  </sheetViews>
  <sheetFormatPr defaultRowHeight="14.5"/>
  <cols>
    <col min="1" max="1" width="18" customWidth="1"/>
    <col min="3" max="3" width="18.7265625" customWidth="1"/>
    <col min="4" max="4" width="14.90625" customWidth="1"/>
    <col min="8" max="8" width="17.7265625" customWidth="1"/>
    <col min="9" max="9" width="20.54296875" customWidth="1"/>
    <col min="10" max="10" width="19.54296875" customWidth="1"/>
    <col min="11" max="11" width="16.26953125" customWidth="1"/>
    <col min="12" max="12" width="15.1796875" customWidth="1"/>
    <col min="13" max="13" width="10.81640625" customWidth="1"/>
    <col min="14" max="14" width="12.26953125" customWidth="1"/>
    <col min="15" max="15" width="13.36328125" customWidth="1"/>
    <col min="16" max="16" width="16.08984375" customWidth="1"/>
  </cols>
  <sheetData>
    <row r="1" spans="1:16" ht="15" thickBot="1">
      <c r="A1" t="s">
        <v>4</v>
      </c>
      <c r="B1" t="s">
        <v>5</v>
      </c>
      <c r="C1" t="s">
        <v>137</v>
      </c>
      <c r="D1" t="s">
        <v>106</v>
      </c>
      <c r="H1" t="s">
        <v>109</v>
      </c>
    </row>
    <row r="2" spans="1:16" ht="15" thickBot="1">
      <c r="A2" s="3">
        <v>70389.11</v>
      </c>
      <c r="B2" s="3">
        <v>8302</v>
      </c>
      <c r="C2" s="3">
        <v>75</v>
      </c>
      <c r="D2">
        <v>0</v>
      </c>
    </row>
    <row r="3" spans="1:16" ht="15" thickBot="1">
      <c r="A3" s="3">
        <v>43827.89</v>
      </c>
      <c r="B3" s="3">
        <v>8487</v>
      </c>
      <c r="C3" s="3">
        <v>84.4</v>
      </c>
      <c r="D3">
        <v>0</v>
      </c>
      <c r="H3" s="8" t="s">
        <v>110</v>
      </c>
      <c r="I3" s="8"/>
    </row>
    <row r="4" spans="1:16" ht="15" thickBot="1">
      <c r="A4" s="3">
        <v>59921.75</v>
      </c>
      <c r="B4" s="3">
        <v>9113</v>
      </c>
      <c r="C4" s="3">
        <v>88</v>
      </c>
      <c r="D4">
        <v>0</v>
      </c>
      <c r="H4" s="5" t="s">
        <v>111</v>
      </c>
      <c r="I4" s="5">
        <v>0.89969456474988874</v>
      </c>
    </row>
    <row r="5" spans="1:16" ht="15" thickBot="1">
      <c r="A5" s="3">
        <v>56856.63</v>
      </c>
      <c r="B5" s="3">
        <v>9431</v>
      </c>
      <c r="C5" s="3">
        <v>86.9</v>
      </c>
      <c r="D5">
        <v>0</v>
      </c>
      <c r="H5" s="5" t="s">
        <v>112</v>
      </c>
      <c r="I5" s="5">
        <v>0.80945030984049182</v>
      </c>
    </row>
    <row r="6" spans="1:16" ht="15" thickBot="1">
      <c r="A6" s="3">
        <v>48412.639999999999</v>
      </c>
      <c r="B6" s="3">
        <v>9545</v>
      </c>
      <c r="C6" s="3">
        <v>97.6</v>
      </c>
      <c r="D6">
        <v>0</v>
      </c>
      <c r="H6" s="5" t="s">
        <v>113</v>
      </c>
      <c r="I6" s="5">
        <v>0.80703063123529162</v>
      </c>
    </row>
    <row r="7" spans="1:16" ht="15" thickBot="1">
      <c r="A7" s="3">
        <v>64811.21</v>
      </c>
      <c r="B7" s="3">
        <v>9792</v>
      </c>
      <c r="C7" s="3">
        <v>84.2</v>
      </c>
      <c r="D7">
        <v>0</v>
      </c>
      <c r="H7" s="5" t="s">
        <v>114</v>
      </c>
      <c r="I7" s="5">
        <v>45585.096268691224</v>
      </c>
    </row>
    <row r="8" spans="1:16" ht="15" thickBot="1">
      <c r="A8" s="3">
        <v>46213.45</v>
      </c>
      <c r="B8" s="3">
        <v>10616</v>
      </c>
      <c r="C8" s="3">
        <v>85.2</v>
      </c>
      <c r="D8">
        <v>0</v>
      </c>
      <c r="H8" s="6" t="s">
        <v>115</v>
      </c>
      <c r="I8" s="6">
        <v>320</v>
      </c>
    </row>
    <row r="9" spans="1:16" ht="15" thickBot="1">
      <c r="A9" s="3">
        <v>68148.52</v>
      </c>
      <c r="B9" s="3">
        <v>8567</v>
      </c>
      <c r="C9" s="3">
        <v>95.6</v>
      </c>
      <c r="D9">
        <v>0</v>
      </c>
    </row>
    <row r="10" spans="1:16" ht="15" thickBot="1">
      <c r="A10" s="3">
        <v>71838.86</v>
      </c>
      <c r="B10" s="3">
        <v>10979</v>
      </c>
      <c r="C10" s="3">
        <v>88.6</v>
      </c>
      <c r="D10">
        <v>1</v>
      </c>
      <c r="H10" t="s">
        <v>116</v>
      </c>
    </row>
    <row r="11" spans="1:16" ht="15" thickBot="1">
      <c r="A11" s="3">
        <v>68133.440000000002</v>
      </c>
      <c r="B11" s="3">
        <v>9459</v>
      </c>
      <c r="C11" s="3">
        <v>85</v>
      </c>
      <c r="D11">
        <v>1</v>
      </c>
      <c r="H11" s="7"/>
      <c r="I11" s="7" t="s">
        <v>121</v>
      </c>
      <c r="J11" s="7" t="s">
        <v>122</v>
      </c>
      <c r="K11" s="7" t="s">
        <v>123</v>
      </c>
      <c r="L11" s="7" t="s">
        <v>124</v>
      </c>
      <c r="M11" s="7" t="s">
        <v>125</v>
      </c>
    </row>
    <row r="12" spans="1:16" ht="15" thickBot="1">
      <c r="A12" s="3">
        <v>34285.21</v>
      </c>
      <c r="B12" s="3">
        <v>9172</v>
      </c>
      <c r="C12" s="3">
        <v>88.3</v>
      </c>
      <c r="D12">
        <v>1</v>
      </c>
      <c r="H12" s="5" t="s">
        <v>117</v>
      </c>
      <c r="I12" s="5">
        <v>4</v>
      </c>
      <c r="J12" s="5">
        <v>2780598301215.5977</v>
      </c>
      <c r="K12" s="5">
        <v>695149575303.89941</v>
      </c>
      <c r="L12" s="5">
        <v>334.52802702842899</v>
      </c>
      <c r="M12" s="5">
        <v>5.1305378170365995E-112</v>
      </c>
    </row>
    <row r="13" spans="1:16" ht="15" thickBot="1">
      <c r="A13" s="3">
        <v>67979.88</v>
      </c>
      <c r="B13" s="3">
        <v>11230</v>
      </c>
      <c r="C13" s="3">
        <v>85.3</v>
      </c>
      <c r="D13">
        <v>1</v>
      </c>
      <c r="H13" s="5" t="s">
        <v>118</v>
      </c>
      <c r="I13" s="5">
        <v>315</v>
      </c>
      <c r="J13" s="5">
        <v>654570315575.14172</v>
      </c>
      <c r="K13" s="5">
        <v>2078001001.8258467</v>
      </c>
      <c r="L13" s="5"/>
      <c r="M13" s="5"/>
    </row>
    <row r="14" spans="1:16" ht="15" thickBot="1">
      <c r="A14" s="3">
        <v>71828.259999999995</v>
      </c>
      <c r="B14" s="3">
        <v>12775</v>
      </c>
      <c r="C14" s="3">
        <v>81.7</v>
      </c>
      <c r="D14">
        <v>0</v>
      </c>
      <c r="H14" s="6" t="s">
        <v>119</v>
      </c>
      <c r="I14" s="6">
        <v>319</v>
      </c>
      <c r="J14" s="6">
        <v>3435168616790.7393</v>
      </c>
      <c r="K14" s="6"/>
      <c r="L14" s="6"/>
      <c r="M14" s="6"/>
    </row>
    <row r="15" spans="1:16" ht="15" thickBot="1">
      <c r="A15" s="3">
        <v>55716.82</v>
      </c>
      <c r="B15" s="3">
        <v>10054</v>
      </c>
      <c r="C15" s="3">
        <v>84.9</v>
      </c>
      <c r="D15">
        <v>0</v>
      </c>
    </row>
    <row r="16" spans="1:16" ht="15" thickBot="1">
      <c r="A16" s="3">
        <v>59909.51</v>
      </c>
      <c r="B16" s="3">
        <v>8895</v>
      </c>
      <c r="C16" s="3">
        <v>88.8</v>
      </c>
      <c r="D16">
        <v>0</v>
      </c>
      <c r="H16" s="7"/>
      <c r="I16" s="7" t="s">
        <v>126</v>
      </c>
      <c r="J16" s="7" t="s">
        <v>114</v>
      </c>
      <c r="K16" s="7" t="s">
        <v>127</v>
      </c>
      <c r="L16" s="7" t="s">
        <v>128</v>
      </c>
      <c r="M16" s="7" t="s">
        <v>129</v>
      </c>
      <c r="N16" s="7" t="s">
        <v>130</v>
      </c>
      <c r="O16" s="7" t="s">
        <v>131</v>
      </c>
      <c r="P16" s="7" t="s">
        <v>132</v>
      </c>
    </row>
    <row r="17" spans="1:16" ht="15" thickBot="1">
      <c r="A17" s="3">
        <v>75305.710000000006</v>
      </c>
      <c r="B17" s="3">
        <v>10940</v>
      </c>
      <c r="C17" s="3">
        <v>76.5</v>
      </c>
      <c r="D17">
        <v>0</v>
      </c>
      <c r="H17" s="5" t="s">
        <v>120</v>
      </c>
      <c r="I17" s="5">
        <v>129780.59884877688</v>
      </c>
      <c r="J17" s="5">
        <v>43590.930464313715</v>
      </c>
      <c r="K17" s="5">
        <v>2.9772385555069412</v>
      </c>
      <c r="L17" s="5">
        <v>3.1341250695582083E-3</v>
      </c>
      <c r="M17" s="5">
        <v>44014.417391952113</v>
      </c>
      <c r="N17" s="5">
        <v>215546.78030560166</v>
      </c>
      <c r="O17" s="5">
        <v>44014.417391952113</v>
      </c>
      <c r="P17" s="5">
        <v>215546.78030560166</v>
      </c>
    </row>
    <row r="18" spans="1:16" ht="15" thickBot="1">
      <c r="A18" s="3">
        <v>48804.22</v>
      </c>
      <c r="B18" s="3">
        <v>7057</v>
      </c>
      <c r="C18" s="3">
        <v>87.7</v>
      </c>
      <c r="D18">
        <v>0</v>
      </c>
      <c r="H18" s="5" t="s">
        <v>4</v>
      </c>
      <c r="I18" s="5">
        <v>1.1790037279776429</v>
      </c>
      <c r="J18" s="5">
        <v>0.13186596223783784</v>
      </c>
      <c r="K18" s="5">
        <v>8.9409253758081437</v>
      </c>
      <c r="L18" s="5">
        <v>3.3443920169001885E-17</v>
      </c>
      <c r="M18" s="5">
        <v>0.91955434424567617</v>
      </c>
      <c r="N18" s="5">
        <v>1.4384531117096095</v>
      </c>
      <c r="O18" s="5">
        <v>0.91955434424567617</v>
      </c>
      <c r="P18" s="5">
        <v>1.4384531117096095</v>
      </c>
    </row>
    <row r="19" spans="1:16" ht="15" thickBot="1">
      <c r="A19" s="3">
        <v>59117.9</v>
      </c>
      <c r="B19" s="3">
        <v>4263</v>
      </c>
      <c r="C19" s="3">
        <v>87.6</v>
      </c>
      <c r="D19">
        <v>0</v>
      </c>
      <c r="H19" s="5" t="s">
        <v>5</v>
      </c>
      <c r="I19" s="5">
        <v>33.528140387377611</v>
      </c>
      <c r="J19" s="5">
        <v>1.0535318377190679</v>
      </c>
      <c r="K19" s="5">
        <v>31.824515583664915</v>
      </c>
      <c r="L19" s="5">
        <v>2.0014642461637329E-100</v>
      </c>
      <c r="M19" s="5">
        <v>31.455291705280128</v>
      </c>
      <c r="N19" s="5">
        <v>35.600989069475091</v>
      </c>
      <c r="O19" s="5">
        <v>31.455291705280128</v>
      </c>
      <c r="P19" s="5">
        <v>35.600989069475091</v>
      </c>
    </row>
    <row r="20" spans="1:16" ht="15" thickBot="1">
      <c r="A20" s="3">
        <v>78831.12</v>
      </c>
      <c r="B20" s="3">
        <v>5538</v>
      </c>
      <c r="C20" s="3">
        <v>94.1</v>
      </c>
      <c r="D20">
        <v>0</v>
      </c>
      <c r="H20" s="5" t="s">
        <v>137</v>
      </c>
      <c r="I20" s="5">
        <v>2969.1135354010016</v>
      </c>
      <c r="J20" s="5">
        <v>477.23399427749837</v>
      </c>
      <c r="K20" s="5">
        <v>6.2215046937216805</v>
      </c>
      <c r="L20" s="5">
        <v>1.5662646571854801E-9</v>
      </c>
      <c r="M20" s="5">
        <v>2030.1444215373385</v>
      </c>
      <c r="N20" s="5">
        <v>3908.0826492646647</v>
      </c>
      <c r="O20" s="5">
        <v>2030.1444215373385</v>
      </c>
      <c r="P20" s="5">
        <v>3908.0826492646647</v>
      </c>
    </row>
    <row r="21" spans="1:16" ht="15" thickBot="1">
      <c r="A21" s="3">
        <v>41441.93</v>
      </c>
      <c r="B21" s="3">
        <v>4865</v>
      </c>
      <c r="C21" s="3">
        <v>88.3</v>
      </c>
      <c r="D21">
        <v>0</v>
      </c>
      <c r="H21" s="6" t="s">
        <v>106</v>
      </c>
      <c r="I21" s="6">
        <v>25645.743381918081</v>
      </c>
      <c r="J21" s="6">
        <v>9035.0786609473471</v>
      </c>
      <c r="K21" s="6">
        <v>2.8384637637708261</v>
      </c>
      <c r="L21" s="6">
        <v>4.8274479364131557E-3</v>
      </c>
      <c r="M21" s="6">
        <v>7869.0135058288106</v>
      </c>
      <c r="N21" s="6">
        <v>43422.473258007347</v>
      </c>
      <c r="O21" s="6">
        <v>7869.0135058288106</v>
      </c>
      <c r="P21" s="6">
        <v>43422.473258007347</v>
      </c>
    </row>
    <row r="22" spans="1:16" ht="15" thickBot="1">
      <c r="A22" s="3">
        <v>30356.28</v>
      </c>
      <c r="B22" s="3">
        <v>2822</v>
      </c>
      <c r="C22" s="3">
        <v>84.8</v>
      </c>
      <c r="D22">
        <v>0</v>
      </c>
    </row>
    <row r="23" spans="1:16" ht="15" thickBot="1">
      <c r="A23" s="3">
        <v>33518.879999999997</v>
      </c>
      <c r="B23" s="3">
        <v>2121</v>
      </c>
      <c r="C23" s="3">
        <v>88.5</v>
      </c>
      <c r="D23">
        <v>0</v>
      </c>
    </row>
    <row r="24" spans="1:16" ht="15" thickBot="1">
      <c r="A24" s="3">
        <v>42267.37</v>
      </c>
      <c r="B24" s="3">
        <v>3364</v>
      </c>
      <c r="C24" s="3">
        <v>82</v>
      </c>
      <c r="D24">
        <v>0</v>
      </c>
    </row>
    <row r="25" spans="1:16" ht="15" thickBot="1">
      <c r="A25" s="3">
        <v>62060.43</v>
      </c>
      <c r="B25" s="3">
        <v>2613</v>
      </c>
      <c r="C25" s="3">
        <v>92.1</v>
      </c>
      <c r="D25">
        <v>0</v>
      </c>
      <c r="H25" t="s">
        <v>133</v>
      </c>
    </row>
    <row r="26" spans="1:16" ht="15" thickBot="1">
      <c r="A26" s="3">
        <v>57696.69</v>
      </c>
      <c r="B26" s="3">
        <v>10218</v>
      </c>
      <c r="C26" s="3">
        <v>94.8</v>
      </c>
      <c r="D26">
        <v>0</v>
      </c>
    </row>
    <row r="27" spans="1:16" ht="15" thickBot="1">
      <c r="A27" s="3">
        <v>172415.52</v>
      </c>
      <c r="B27" s="3">
        <v>8927</v>
      </c>
      <c r="C27" s="3">
        <v>86.2</v>
      </c>
      <c r="D27">
        <v>0</v>
      </c>
      <c r="H27" s="7" t="s">
        <v>134</v>
      </c>
      <c r="I27" s="7" t="s">
        <v>135</v>
      </c>
      <c r="J27" s="7" t="s">
        <v>136</v>
      </c>
    </row>
    <row r="28" spans="1:16" ht="15" thickBot="1">
      <c r="A28" s="3">
        <v>55270.52</v>
      </c>
      <c r="B28" s="3">
        <v>9315</v>
      </c>
      <c r="C28" s="3">
        <v>91.9</v>
      </c>
      <c r="D28">
        <v>0</v>
      </c>
      <c r="H28" s="5">
        <v>1</v>
      </c>
      <c r="I28" s="5">
        <v>713803.75859888934</v>
      </c>
      <c r="J28" s="5">
        <v>-54971.138598889345</v>
      </c>
    </row>
    <row r="29" spans="1:16" ht="15" thickBot="1">
      <c r="A29" s="3">
        <v>52715.1</v>
      </c>
      <c r="B29" s="3">
        <v>7223</v>
      </c>
      <c r="C29" s="3">
        <v>84.2</v>
      </c>
      <c r="D29">
        <v>0</v>
      </c>
      <c r="H29" s="5">
        <v>2</v>
      </c>
      <c r="I29" s="5">
        <v>716600.35440368927</v>
      </c>
      <c r="J29" s="5">
        <v>-82164.354403689271</v>
      </c>
    </row>
    <row r="30" spans="1:16" ht="15" thickBot="1">
      <c r="A30" s="3">
        <v>68600.62</v>
      </c>
      <c r="B30" s="3">
        <v>3988</v>
      </c>
      <c r="C30" s="3">
        <v>85</v>
      </c>
      <c r="D30">
        <v>0</v>
      </c>
      <c r="H30" s="5">
        <v>3</v>
      </c>
      <c r="I30" s="5">
        <v>767252.49995118147</v>
      </c>
      <c r="J30" s="5">
        <v>-88530.439951181412</v>
      </c>
    </row>
    <row r="31" spans="1:16" ht="15" thickBot="1">
      <c r="A31" s="3">
        <v>63176.73</v>
      </c>
      <c r="B31" s="3">
        <v>2390</v>
      </c>
      <c r="C31" s="3">
        <v>87.5</v>
      </c>
      <c r="D31">
        <v>0</v>
      </c>
      <c r="H31" s="5">
        <v>4</v>
      </c>
      <c r="I31" s="5">
        <v>771034.63579872763</v>
      </c>
      <c r="J31" s="5">
        <v>-112114.33579872758</v>
      </c>
    </row>
    <row r="32" spans="1:16" ht="15" thickBot="1">
      <c r="A32" s="3">
        <v>44970.080000000002</v>
      </c>
      <c r="B32" s="3">
        <v>2471</v>
      </c>
      <c r="C32" s="3">
        <v>87.6</v>
      </c>
      <c r="D32">
        <v>0</v>
      </c>
      <c r="H32" s="5">
        <v>5</v>
      </c>
      <c r="I32" s="5">
        <v>796670.8629426735</v>
      </c>
      <c r="J32" s="5">
        <v>-55329.422942673555</v>
      </c>
    </row>
    <row r="33" spans="1:10" ht="15" thickBot="1">
      <c r="A33" s="3">
        <v>69816.350000000006</v>
      </c>
      <c r="B33" s="3">
        <v>971</v>
      </c>
      <c r="C33" s="3">
        <v>89.9</v>
      </c>
      <c r="D33">
        <v>0</v>
      </c>
      <c r="H33" s="5">
        <v>6</v>
      </c>
      <c r="I33" s="5">
        <v>784500.16740748473</v>
      </c>
      <c r="J33" s="5">
        <v>-22664.827407484758</v>
      </c>
    </row>
    <row r="34" spans="1:10" ht="15" thickBot="1">
      <c r="A34" s="3">
        <v>54597.83</v>
      </c>
      <c r="B34" s="3">
        <v>9429</v>
      </c>
      <c r="C34" s="3">
        <v>83.3</v>
      </c>
      <c r="D34">
        <v>0</v>
      </c>
      <c r="H34" s="5">
        <v>7</v>
      </c>
      <c r="I34" s="5">
        <v>793169.64025005128</v>
      </c>
      <c r="J34" s="5">
        <v>13445.89974994876</v>
      </c>
    </row>
    <row r="35" spans="1:10" ht="15" thickBot="1">
      <c r="A35" s="3">
        <v>73771.91</v>
      </c>
      <c r="B35" s="3">
        <v>11695</v>
      </c>
      <c r="C35" s="3">
        <v>84.7</v>
      </c>
      <c r="D35">
        <v>0</v>
      </c>
      <c r="H35" s="5">
        <v>8</v>
      </c>
      <c r="I35" s="5">
        <v>781210.79066793551</v>
      </c>
      <c r="J35" s="5">
        <v>68953.469332064502</v>
      </c>
    </row>
    <row r="36" spans="1:10" ht="15" thickBot="1">
      <c r="A36" s="3">
        <v>74413.88</v>
      </c>
      <c r="B36" s="3">
        <v>9449</v>
      </c>
      <c r="C36" s="3">
        <v>92.1</v>
      </c>
      <c r="D36">
        <v>0</v>
      </c>
      <c r="H36" s="5">
        <v>9</v>
      </c>
      <c r="I36" s="5">
        <v>871293.53853390634</v>
      </c>
      <c r="J36" s="5">
        <v>59288.161466093617</v>
      </c>
    </row>
    <row r="37" spans="1:10" ht="15" thickBot="1">
      <c r="A37" s="3">
        <v>52483.77</v>
      </c>
      <c r="B37" s="3">
        <v>10453</v>
      </c>
      <c r="C37" s="3">
        <v>99</v>
      </c>
      <c r="D37">
        <v>0</v>
      </c>
      <c r="H37" s="5">
        <v>10</v>
      </c>
      <c r="I37" s="5">
        <v>805273.25242392602</v>
      </c>
      <c r="J37" s="5">
        <v>-26262.31242392608</v>
      </c>
    </row>
    <row r="38" spans="1:10" ht="15" thickBot="1">
      <c r="A38" s="3">
        <v>75269.87</v>
      </c>
      <c r="B38" s="3">
        <v>8838</v>
      </c>
      <c r="C38" s="3">
        <v>83.1</v>
      </c>
      <c r="D38">
        <v>0</v>
      </c>
      <c r="H38" s="5">
        <v>11</v>
      </c>
      <c r="I38" s="5">
        <v>765541.56144412712</v>
      </c>
      <c r="J38" s="5">
        <v>-42480.801444127108</v>
      </c>
    </row>
    <row r="39" spans="1:10" ht="15" thickBot="1">
      <c r="A39" s="3">
        <v>61245.41</v>
      </c>
      <c r="B39" s="3">
        <v>8156</v>
      </c>
      <c r="C39" s="3">
        <v>92.9</v>
      </c>
      <c r="D39">
        <v>0</v>
      </c>
      <c r="H39" s="5">
        <v>12</v>
      </c>
      <c r="I39" s="5">
        <v>865361.27529812383</v>
      </c>
      <c r="J39" s="5">
        <v>45430.664701876114</v>
      </c>
    </row>
    <row r="40" spans="1:10" ht="15" thickBot="1">
      <c r="A40" s="3">
        <v>93381.26</v>
      </c>
      <c r="B40" s="3">
        <v>7562</v>
      </c>
      <c r="C40" s="3">
        <v>82.9</v>
      </c>
      <c r="D40">
        <v>0</v>
      </c>
      <c r="H40" s="5">
        <v>13</v>
      </c>
      <c r="I40" s="5">
        <v>885364.95445393515</v>
      </c>
      <c r="J40" s="5">
        <v>36803.645546064829</v>
      </c>
    </row>
    <row r="41" spans="1:10" ht="15" thickBot="1">
      <c r="A41" s="3">
        <v>65012.19</v>
      </c>
      <c r="B41" s="3">
        <v>9598</v>
      </c>
      <c r="C41" s="3">
        <v>98.3</v>
      </c>
      <c r="D41">
        <v>0</v>
      </c>
      <c r="H41" s="5">
        <v>14</v>
      </c>
      <c r="I41" s="5">
        <v>784640.59995007573</v>
      </c>
      <c r="J41" s="5">
        <v>-58034.319950075704</v>
      </c>
    </row>
    <row r="42" spans="1:10" ht="15" thickBot="1">
      <c r="A42" s="3">
        <v>40462.94</v>
      </c>
      <c r="B42" s="3">
        <v>3660</v>
      </c>
      <c r="C42" s="3">
        <v>95.2</v>
      </c>
      <c r="D42">
        <v>0</v>
      </c>
      <c r="H42" s="5">
        <v>15</v>
      </c>
      <c r="I42" s="5">
        <v>762304.2251694235</v>
      </c>
      <c r="J42" s="5">
        <v>-15803.135169423535</v>
      </c>
    </row>
    <row r="43" spans="1:10" ht="15" thickBot="1">
      <c r="A43" s="3">
        <v>46123.88</v>
      </c>
      <c r="B43" s="3">
        <v>3227</v>
      </c>
      <c r="C43" s="3">
        <v>75.400000000000006</v>
      </c>
      <c r="D43">
        <v>0</v>
      </c>
      <c r="H43" s="5">
        <v>16</v>
      </c>
      <c r="I43" s="5">
        <v>812501.3529728679</v>
      </c>
      <c r="J43" s="5">
        <v>21515.66702713212</v>
      </c>
    </row>
    <row r="44" spans="1:10" ht="15" thickBot="1">
      <c r="A44" s="3">
        <v>68077.539999999994</v>
      </c>
      <c r="B44" s="3">
        <v>3360</v>
      </c>
      <c r="C44" s="3">
        <v>88.2</v>
      </c>
      <c r="D44">
        <v>0</v>
      </c>
      <c r="H44" s="5">
        <v>17</v>
      </c>
      <c r="I44" s="5">
        <v>684320.29993820959</v>
      </c>
      <c r="J44" s="5">
        <v>-18167.779938209569</v>
      </c>
    </row>
    <row r="45" spans="1:10" ht="15" thickBot="1">
      <c r="A45" s="3">
        <v>64882.14</v>
      </c>
      <c r="B45" s="3">
        <v>3642</v>
      </c>
      <c r="C45" s="3">
        <v>87.8</v>
      </c>
      <c r="D45">
        <v>0</v>
      </c>
      <c r="H45" s="5">
        <v>18</v>
      </c>
      <c r="I45" s="5">
        <v>602505.63151150476</v>
      </c>
      <c r="J45" s="5">
        <v>-29350.441511504818</v>
      </c>
    </row>
    <row r="46" spans="1:10" ht="15" thickBot="1">
      <c r="A46" s="3">
        <v>138855.51</v>
      </c>
      <c r="B46" s="3">
        <v>5145</v>
      </c>
      <c r="C46" s="3">
        <v>88.2</v>
      </c>
      <c r="D46">
        <v>0</v>
      </c>
      <c r="H46" s="5">
        <v>19</v>
      </c>
      <c r="I46" s="5">
        <v>687795.20835596113</v>
      </c>
      <c r="J46" s="5">
        <v>-21222.008355961181</v>
      </c>
    </row>
    <row r="47" spans="1:10" ht="15" thickBot="1">
      <c r="A47" s="3">
        <v>63630.21</v>
      </c>
      <c r="B47" s="3">
        <v>4460</v>
      </c>
      <c r="C47" s="3">
        <v>98.6</v>
      </c>
      <c r="D47">
        <v>0</v>
      </c>
      <c r="H47" s="5">
        <v>20</v>
      </c>
      <c r="I47" s="5">
        <v>603927.91697386582</v>
      </c>
      <c r="J47" s="5">
        <v>-12307.96697386587</v>
      </c>
    </row>
    <row r="48" spans="1:10" ht="15" thickBot="1">
      <c r="A48" s="3">
        <v>50043.65</v>
      </c>
      <c r="B48" s="3">
        <v>3804</v>
      </c>
      <c r="C48" s="3">
        <v>90.9</v>
      </c>
      <c r="D48">
        <v>0</v>
      </c>
      <c r="H48" s="5">
        <v>21</v>
      </c>
      <c r="I48" s="5">
        <v>511968.00611149461</v>
      </c>
      <c r="J48" s="5">
        <v>-96246.186111494608</v>
      </c>
    </row>
    <row r="49" spans="1:10" ht="15" thickBot="1">
      <c r="A49" s="3">
        <v>42093.84</v>
      </c>
      <c r="B49" s="3">
        <v>4074</v>
      </c>
      <c r="C49" s="3">
        <v>88</v>
      </c>
      <c r="D49">
        <v>0</v>
      </c>
      <c r="H49" s="5">
        <v>22</v>
      </c>
      <c r="I49" s="5">
        <v>503179.21697102871</v>
      </c>
      <c r="J49" s="5">
        <v>-11274.086971028708</v>
      </c>
    </row>
    <row r="50" spans="1:10" ht="15" thickBot="1">
      <c r="A50" s="3">
        <v>46624.05</v>
      </c>
      <c r="B50" s="3">
        <v>5104</v>
      </c>
      <c r="C50" s="3">
        <v>97.3</v>
      </c>
      <c r="D50">
        <v>0</v>
      </c>
      <c r="H50" s="5">
        <v>23</v>
      </c>
      <c r="I50" s="5">
        <v>535869.95981660765</v>
      </c>
      <c r="J50" s="5">
        <v>20059.440183392377</v>
      </c>
    </row>
    <row r="51" spans="1:10" ht="15" thickBot="1">
      <c r="A51" s="3">
        <v>49710.29</v>
      </c>
      <c r="B51" s="3">
        <v>5559</v>
      </c>
      <c r="C51" s="3">
        <v>71</v>
      </c>
      <c r="D51">
        <v>0</v>
      </c>
      <c r="H51" s="5">
        <v>24</v>
      </c>
      <c r="I51" s="5">
        <v>564014.46462132235</v>
      </c>
      <c r="J51" s="5">
        <v>1796.5253786776448</v>
      </c>
    </row>
    <row r="52" spans="1:10" ht="15" thickBot="1">
      <c r="A52" s="3">
        <v>48287.85</v>
      </c>
      <c r="B52" s="3">
        <v>5150</v>
      </c>
      <c r="C52" s="3">
        <v>80.400000000000006</v>
      </c>
      <c r="D52">
        <v>0</v>
      </c>
      <c r="H52" s="5">
        <v>25</v>
      </c>
      <c r="I52" s="5">
        <v>821867.71308498667</v>
      </c>
      <c r="J52" s="5">
        <v>-10096.573084986652</v>
      </c>
    </row>
    <row r="53" spans="1:10" ht="15" thickBot="1">
      <c r="A53" s="3">
        <v>65312.49</v>
      </c>
      <c r="B53" s="3">
        <v>7189</v>
      </c>
      <c r="C53" s="3">
        <v>93.7</v>
      </c>
      <c r="D53">
        <v>0</v>
      </c>
      <c r="H53" s="5">
        <v>26</v>
      </c>
      <c r="I53" s="5">
        <v>888302.43567966705</v>
      </c>
      <c r="J53" s="5">
        <v>-87850.495679667103</v>
      </c>
    </row>
    <row r="54" spans="1:10" ht="15" thickBot="1">
      <c r="A54" s="3">
        <v>53015.46</v>
      </c>
      <c r="B54" s="3">
        <v>3279</v>
      </c>
      <c r="C54" s="3">
        <v>84.3</v>
      </c>
      <c r="D54">
        <v>0</v>
      </c>
      <c r="H54" s="5">
        <v>27</v>
      </c>
      <c r="I54" s="5">
        <v>780120.90958781424</v>
      </c>
      <c r="J54" s="5">
        <v>3551.910412185709</v>
      </c>
    </row>
    <row r="55" spans="1:10" ht="15" thickBot="1">
      <c r="A55" s="3">
        <v>99874.01</v>
      </c>
      <c r="B55" s="3">
        <v>5887</v>
      </c>
      <c r="C55" s="3">
        <v>88.7</v>
      </c>
      <c r="D55">
        <v>0</v>
      </c>
      <c r="H55" s="5">
        <v>28</v>
      </c>
      <c r="I55" s="5">
        <v>684105.01596828399</v>
      </c>
      <c r="J55" s="5">
        <v>17536.954031715984</v>
      </c>
    </row>
    <row r="56" spans="1:10" ht="15" thickBot="1">
      <c r="A56" s="3">
        <v>81195.5</v>
      </c>
      <c r="B56" s="3">
        <v>5516</v>
      </c>
      <c r="C56" s="3">
        <v>88</v>
      </c>
      <c r="D56">
        <v>0</v>
      </c>
      <c r="H56" s="5">
        <v>29</v>
      </c>
      <c r="I56" s="5">
        <v>596745.85994430154</v>
      </c>
      <c r="J56" s="5">
        <v>-84901.449944301567</v>
      </c>
    </row>
    <row r="57" spans="1:10" ht="15" thickBot="1">
      <c r="A57" s="3">
        <v>27808.6</v>
      </c>
      <c r="B57" s="3">
        <v>2863</v>
      </c>
      <c r="C57" s="3">
        <v>89.3</v>
      </c>
      <c r="D57">
        <v>0</v>
      </c>
      <c r="H57" s="5">
        <v>30</v>
      </c>
      <c r="I57" s="5">
        <v>544195.888913634</v>
      </c>
      <c r="J57" s="5">
        <v>-6812.0989136339631</v>
      </c>
    </row>
    <row r="58" spans="1:10" ht="15" thickBot="1">
      <c r="A58" s="3">
        <v>19365.060000000001</v>
      </c>
      <c r="B58" s="3">
        <v>2378</v>
      </c>
      <c r="C58" s="3">
        <v>94.8</v>
      </c>
      <c r="D58">
        <v>1</v>
      </c>
      <c r="H58" s="5">
        <v>31</v>
      </c>
      <c r="I58" s="5">
        <v>525742.87141456758</v>
      </c>
      <c r="J58" s="5">
        <v>-25569.851414567558</v>
      </c>
    </row>
    <row r="59" spans="1:10" ht="15" thickBot="1">
      <c r="A59" s="3">
        <v>59405.68</v>
      </c>
      <c r="B59" s="3">
        <v>2515</v>
      </c>
      <c r="C59" s="3">
        <v>76</v>
      </c>
      <c r="D59">
        <v>1</v>
      </c>
      <c r="H59" s="5">
        <v>32</v>
      </c>
      <c r="I59" s="5">
        <v>511573.4669212625</v>
      </c>
      <c r="J59" s="5">
        <v>-83656.086921262497</v>
      </c>
    </row>
    <row r="60" spans="1:10" ht="15" thickBot="1">
      <c r="A60" s="3">
        <v>118910.48</v>
      </c>
      <c r="B60" s="3">
        <v>4022</v>
      </c>
      <c r="C60" s="3">
        <v>87.1</v>
      </c>
      <c r="D60">
        <v>1</v>
      </c>
      <c r="H60" s="5">
        <v>33</v>
      </c>
      <c r="I60" s="5">
        <v>757615.63716975343</v>
      </c>
      <c r="J60" s="5">
        <v>-115750.60716975341</v>
      </c>
    </row>
    <row r="61" spans="1:10" ht="15" thickBot="1">
      <c r="A61" s="3">
        <v>52952.12</v>
      </c>
      <c r="B61" s="3">
        <v>4377</v>
      </c>
      <c r="C61" s="3">
        <v>88.6</v>
      </c>
      <c r="D61">
        <v>1</v>
      </c>
      <c r="H61" s="5">
        <v>34</v>
      </c>
      <c r="I61" s="5">
        <v>860353.474037654</v>
      </c>
      <c r="J61" s="5">
        <v>-60875.71403765399</v>
      </c>
    </row>
    <row r="62" spans="1:10" ht="15" thickBot="1">
      <c r="A62" s="3">
        <v>74907.98</v>
      </c>
      <c r="B62" s="3">
        <v>5306</v>
      </c>
      <c r="C62" s="3">
        <v>95.6</v>
      </c>
      <c r="D62">
        <v>0</v>
      </c>
      <c r="H62" s="5">
        <v>35</v>
      </c>
      <c r="I62" s="5">
        <v>807777.59591282113</v>
      </c>
      <c r="J62" s="5">
        <v>-8825.4259128210833</v>
      </c>
    </row>
    <row r="63" spans="1:10" ht="15" thickBot="1">
      <c r="A63" s="3">
        <v>37284.660000000003</v>
      </c>
      <c r="B63" s="3">
        <v>3928</v>
      </c>
      <c r="C63" s="3">
        <v>86.5</v>
      </c>
      <c r="D63">
        <v>0</v>
      </c>
      <c r="H63" s="5">
        <v>36</v>
      </c>
      <c r="I63" s="5">
        <v>836071.05081105535</v>
      </c>
      <c r="J63" s="5">
        <v>-35091.270811055321</v>
      </c>
    </row>
    <row r="64" spans="1:10" ht="15" thickBot="1">
      <c r="A64" s="3">
        <v>50343.19</v>
      </c>
      <c r="B64" s="3">
        <v>3845</v>
      </c>
      <c r="C64" s="3">
        <v>88.7</v>
      </c>
      <c r="D64">
        <v>0</v>
      </c>
      <c r="H64" s="5">
        <v>37</v>
      </c>
      <c r="I64" s="5">
        <v>761579.09571863594</v>
      </c>
      <c r="J64" s="5">
        <v>59014.834281364107</v>
      </c>
    </row>
    <row r="65" spans="1:10" ht="15" thickBot="1">
      <c r="A65" s="3">
        <v>74954.47</v>
      </c>
      <c r="B65" s="3">
        <v>6620</v>
      </c>
      <c r="C65" s="3">
        <v>91.1</v>
      </c>
      <c r="D65">
        <v>0</v>
      </c>
      <c r="H65" s="5">
        <v>38</v>
      </c>
      <c r="I65" s="5">
        <v>751275.32599850092</v>
      </c>
      <c r="J65" s="5">
        <v>-32944.795998500893</v>
      </c>
    </row>
    <row r="66" spans="1:10" ht="15" thickBot="1">
      <c r="A66" s="3">
        <v>70040.31</v>
      </c>
      <c r="B66" s="3">
        <v>9175</v>
      </c>
      <c r="C66" s="3">
        <v>95.1</v>
      </c>
      <c r="D66">
        <v>0</v>
      </c>
      <c r="H66" s="5">
        <v>39</v>
      </c>
      <c r="I66" s="5">
        <v>739556.76220611902</v>
      </c>
      <c r="J66" s="5">
        <v>-2923.3622061189963</v>
      </c>
    </row>
    <row r="67" spans="1:10" ht="15" thickBot="1">
      <c r="A67" s="3">
        <v>51148.69</v>
      </c>
      <c r="B67" s="3">
        <v>7940</v>
      </c>
      <c r="C67" s="3">
        <v>93.3</v>
      </c>
      <c r="D67">
        <v>0</v>
      </c>
      <c r="H67" s="5">
        <v>40</v>
      </c>
      <c r="I67" s="5">
        <v>820097.16519073653</v>
      </c>
      <c r="J67" s="5">
        <v>8526.6848092634464</v>
      </c>
    </row>
    <row r="68" spans="1:10" ht="15" thickBot="1">
      <c r="A68" s="3">
        <v>79346.100000000006</v>
      </c>
      <c r="B68" s="3">
        <v>9628</v>
      </c>
      <c r="C68" s="3">
        <v>99</v>
      </c>
      <c r="D68">
        <v>0</v>
      </c>
      <c r="H68" s="5">
        <v>41</v>
      </c>
      <c r="I68" s="5">
        <v>582859.15834168997</v>
      </c>
      <c r="J68" s="5">
        <v>9336.6916583100101</v>
      </c>
    </row>
    <row r="69" spans="1:10" ht="15" thickBot="1">
      <c r="A69" s="3">
        <v>42018.400000000001</v>
      </c>
      <c r="B69" s="3">
        <v>8296</v>
      </c>
      <c r="C69" s="3">
        <v>91.8</v>
      </c>
      <c r="D69">
        <v>0</v>
      </c>
      <c r="H69" s="5">
        <v>42</v>
      </c>
      <c r="I69" s="5">
        <v>516227.29491687345</v>
      </c>
      <c r="J69" s="5">
        <v>16417.165083126514</v>
      </c>
    </row>
    <row r="70" spans="1:10" ht="15" thickBot="1">
      <c r="A70" s="3">
        <v>70937.240000000005</v>
      </c>
      <c r="B70" s="3">
        <v>3595</v>
      </c>
      <c r="C70" s="3">
        <v>88.9</v>
      </c>
      <c r="D70">
        <v>0</v>
      </c>
      <c r="H70" s="5">
        <v>43</v>
      </c>
      <c r="I70" s="5">
        <v>584574.63782428112</v>
      </c>
      <c r="J70" s="5">
        <v>72854.542175718932</v>
      </c>
    </row>
    <row r="71" spans="1:10" ht="15" thickBot="1">
      <c r="A71" s="3">
        <v>36813.449999999997</v>
      </c>
      <c r="B71" s="3">
        <v>2834</v>
      </c>
      <c r="C71" s="3">
        <v>81.8</v>
      </c>
      <c r="D71">
        <v>0</v>
      </c>
      <c r="H71" s="5">
        <v>44</v>
      </c>
      <c r="I71" s="5">
        <v>589074.53948698146</v>
      </c>
      <c r="J71" s="5">
        <v>16103.460513018537</v>
      </c>
    </row>
    <row r="72" spans="1:10" ht="15" thickBot="1">
      <c r="A72" s="3">
        <v>60571.82</v>
      </c>
      <c r="B72" s="3">
        <v>3193</v>
      </c>
      <c r="C72" s="3">
        <v>99</v>
      </c>
      <c r="D72">
        <v>0</v>
      </c>
      <c r="H72" s="5">
        <v>45</v>
      </c>
      <c r="I72" s="5">
        <v>727869.85890443996</v>
      </c>
      <c r="J72" s="5">
        <v>-132402.25890443998</v>
      </c>
    </row>
    <row r="73" spans="1:10" ht="15" thickBot="1">
      <c r="A73" s="3">
        <v>55081.16</v>
      </c>
      <c r="B73" s="3">
        <v>5485</v>
      </c>
      <c r="C73" s="3">
        <v>88</v>
      </c>
      <c r="D73">
        <v>0</v>
      </c>
      <c r="H73" s="5">
        <v>46</v>
      </c>
      <c r="I73" s="5">
        <v>647090.95436902007</v>
      </c>
      <c r="J73" s="5">
        <v>-47487.554369020043</v>
      </c>
    </row>
    <row r="74" spans="1:10" ht="15" thickBot="1">
      <c r="A74" s="3">
        <v>46201.46</v>
      </c>
      <c r="B74" s="3">
        <v>5918</v>
      </c>
      <c r="C74" s="3">
        <v>78.8</v>
      </c>
      <c r="D74">
        <v>0</v>
      </c>
      <c r="H74" s="5">
        <v>47</v>
      </c>
      <c r="I74" s="5">
        <v>586215.71516192076</v>
      </c>
      <c r="J74" s="5">
        <v>28584.374838079209</v>
      </c>
    </row>
    <row r="75" spans="1:10" ht="15" thickBot="1">
      <c r="A75" s="3">
        <v>53762.92</v>
      </c>
      <c r="B75" s="3">
        <v>6821</v>
      </c>
      <c r="C75" s="3">
        <v>94.6</v>
      </c>
      <c r="D75">
        <v>0</v>
      </c>
      <c r="H75" s="5">
        <v>48</v>
      </c>
      <c r="I75" s="5">
        <v>577285.02818713582</v>
      </c>
      <c r="J75" s="5">
        <v>8080.7018128641648</v>
      </c>
    </row>
    <row r="76" spans="1:10" ht="15" thickBot="1">
      <c r="A76" s="3">
        <v>70144.78</v>
      </c>
      <c r="B76" s="3">
        <v>6806</v>
      </c>
      <c r="C76" s="3">
        <v>93.1</v>
      </c>
      <c r="D76">
        <v>0</v>
      </c>
      <c r="H76" s="5">
        <v>49</v>
      </c>
      <c r="I76" s="5">
        <v>644772.90314388578</v>
      </c>
      <c r="J76" s="5">
        <v>-21961.163143885788</v>
      </c>
    </row>
    <row r="77" spans="1:10" ht="15" thickBot="1">
      <c r="A77" s="3">
        <v>58749.63</v>
      </c>
      <c r="B77" s="3">
        <v>8252</v>
      </c>
      <c r="C77" s="3">
        <v>85.2</v>
      </c>
      <c r="D77">
        <v>0</v>
      </c>
      <c r="H77" s="5">
        <v>50</v>
      </c>
      <c r="I77" s="5">
        <v>585579.20950452983</v>
      </c>
      <c r="J77" s="5">
        <v>17718.360495470115</v>
      </c>
    </row>
    <row r="78" spans="1:10" ht="15" thickBot="1">
      <c r="A78" s="3">
        <v>56973.18</v>
      </c>
      <c r="B78" s="3">
        <v>6662</v>
      </c>
      <c r="C78" s="3">
        <v>77.7</v>
      </c>
      <c r="D78">
        <v>0</v>
      </c>
      <c r="H78" s="5">
        <v>51</v>
      </c>
      <c r="I78" s="5">
        <v>598098.80525603739</v>
      </c>
      <c r="J78" s="5">
        <v>27574.054743962595</v>
      </c>
    </row>
    <row r="79" spans="1:10" ht="15" thickBot="1">
      <c r="A79" s="3">
        <v>54872.82</v>
      </c>
      <c r="B79" s="3">
        <v>5962</v>
      </c>
      <c r="C79" s="3">
        <v>85.4</v>
      </c>
      <c r="D79">
        <v>0</v>
      </c>
      <c r="H79" s="5">
        <v>52</v>
      </c>
      <c r="I79" s="5">
        <v>726024.00755421096</v>
      </c>
      <c r="J79" s="5">
        <v>47791.132445789059</v>
      </c>
    </row>
    <row r="80" spans="1:10" ht="15" thickBot="1">
      <c r="A80" s="3">
        <v>80562.81</v>
      </c>
      <c r="B80" s="3">
        <v>7470</v>
      </c>
      <c r="C80" s="3">
        <v>83.5</v>
      </c>
      <c r="D80">
        <v>0</v>
      </c>
      <c r="H80" s="5">
        <v>53</v>
      </c>
      <c r="I80" s="5">
        <v>552521.06719374214</v>
      </c>
      <c r="J80" s="5">
        <v>-88986.817193742143</v>
      </c>
    </row>
    <row r="81" spans="1:10" ht="15" thickBot="1">
      <c r="A81" s="3">
        <v>77999.899999999994</v>
      </c>
      <c r="B81" s="3">
        <v>5974</v>
      </c>
      <c r="C81" s="3">
        <v>81.3</v>
      </c>
      <c r="D81">
        <v>0</v>
      </c>
      <c r="H81" s="5">
        <v>54</v>
      </c>
      <c r="I81" s="5">
        <v>708272.96201741416</v>
      </c>
      <c r="J81" s="5">
        <v>38404.78798258584</v>
      </c>
    </row>
    <row r="82" spans="1:10" ht="15" thickBot="1">
      <c r="A82" s="3">
        <v>60881.01</v>
      </c>
      <c r="B82" s="3">
        <v>5410</v>
      </c>
      <c r="C82" s="3">
        <v>83.9</v>
      </c>
      <c r="D82">
        <v>0</v>
      </c>
      <c r="H82" s="5">
        <v>55</v>
      </c>
      <c r="I82" s="5">
        <v>671733.60953584861</v>
      </c>
      <c r="J82" s="5">
        <v>49118.890464151395</v>
      </c>
    </row>
    <row r="83" spans="1:10" ht="15" thickBot="1">
      <c r="A83" s="3">
        <v>60628.38</v>
      </c>
      <c r="B83" s="3">
        <v>4451</v>
      </c>
      <c r="C83" s="3">
        <v>89.6</v>
      </c>
      <c r="D83">
        <v>0</v>
      </c>
      <c r="H83" s="5">
        <v>56</v>
      </c>
      <c r="I83" s="5">
        <v>523699.94655898749</v>
      </c>
      <c r="J83" s="5">
        <v>-36235.036558987515</v>
      </c>
    </row>
    <row r="84" spans="1:10" ht="15" thickBot="1">
      <c r="A84" s="3">
        <v>72731.14</v>
      </c>
      <c r="B84" s="3">
        <v>4644</v>
      </c>
      <c r="C84" s="3">
        <v>87.1</v>
      </c>
      <c r="D84">
        <v>0</v>
      </c>
      <c r="H84" s="5">
        <v>57</v>
      </c>
      <c r="I84" s="5">
        <v>539459.7011604046</v>
      </c>
      <c r="J84" s="5">
        <v>-21410.441160404589</v>
      </c>
    </row>
    <row r="85" spans="1:10" ht="15" thickBot="1">
      <c r="A85" s="3">
        <v>36475.71</v>
      </c>
      <c r="B85" s="3">
        <v>3559</v>
      </c>
      <c r="C85" s="3">
        <v>83.6</v>
      </c>
      <c r="D85">
        <v>0</v>
      </c>
      <c r="H85" s="5">
        <v>58</v>
      </c>
      <c r="I85" s="5">
        <v>535441.76217847271</v>
      </c>
      <c r="J85" s="5">
        <v>-35143.282178472728</v>
      </c>
    </row>
    <row r="86" spans="1:10" ht="15" thickBot="1">
      <c r="A86" s="3">
        <v>55388.11</v>
      </c>
      <c r="B86" s="3">
        <v>3091</v>
      </c>
      <c r="C86" s="3">
        <v>85.4</v>
      </c>
      <c r="D86">
        <v>0</v>
      </c>
      <c r="H86" s="5">
        <v>59</v>
      </c>
      <c r="I86" s="5">
        <v>689082.2110177658</v>
      </c>
      <c r="J86" s="5">
        <v>-71791.06101776578</v>
      </c>
    </row>
    <row r="87" spans="1:10" ht="15" thickBot="1">
      <c r="A87" s="3">
        <v>88443.77</v>
      </c>
      <c r="B87" s="3">
        <v>4004</v>
      </c>
      <c r="C87" s="3">
        <v>91.9</v>
      </c>
      <c r="D87">
        <v>0</v>
      </c>
      <c r="H87" s="5">
        <v>60</v>
      </c>
      <c r="I87" s="5">
        <v>627673.218827095</v>
      </c>
      <c r="J87" s="5">
        <v>-73916.788827094948</v>
      </c>
    </row>
    <row r="88" spans="1:10" ht="15" thickBot="1">
      <c r="A88" s="3">
        <v>78231.91</v>
      </c>
      <c r="B88" s="3">
        <v>3788</v>
      </c>
      <c r="C88" s="3">
        <v>88.5</v>
      </c>
      <c r="D88">
        <v>0</v>
      </c>
      <c r="H88" s="5">
        <v>61</v>
      </c>
      <c r="I88" s="5">
        <v>679844.95340381295</v>
      </c>
      <c r="J88" s="5">
        <v>69714.756596187013</v>
      </c>
    </row>
    <row r="89" spans="1:10" ht="15" thickBot="1">
      <c r="A89" s="3">
        <v>18996.32</v>
      </c>
      <c r="B89" s="3">
        <v>1260</v>
      </c>
      <c r="C89" s="3">
        <v>86.4</v>
      </c>
      <c r="D89">
        <v>0</v>
      </c>
      <c r="H89" s="5">
        <v>62</v>
      </c>
      <c r="I89" s="5">
        <v>562266.20823896164</v>
      </c>
      <c r="J89" s="5">
        <v>53700.271761038341</v>
      </c>
    </row>
    <row r="90" spans="1:10" ht="15" thickBot="1">
      <c r="A90" s="3">
        <v>50517.94</v>
      </c>
      <c r="B90" s="3">
        <v>7024</v>
      </c>
      <c r="C90" s="3">
        <v>79.2</v>
      </c>
      <c r="D90">
        <v>0</v>
      </c>
      <c r="H90" s="5">
        <v>63</v>
      </c>
      <c r="I90" s="5">
        <v>581411.47791659948</v>
      </c>
      <c r="J90" s="5">
        <v>-9400.2779165995307</v>
      </c>
    </row>
    <row r="91" spans="1:10" ht="15" thickBot="1">
      <c r="A91" s="3">
        <v>141540.29</v>
      </c>
      <c r="B91" s="3">
        <v>5400</v>
      </c>
      <c r="C91" s="3">
        <v>87</v>
      </c>
      <c r="D91">
        <v>0</v>
      </c>
      <c r="H91" s="5">
        <v>64</v>
      </c>
      <c r="I91" s="5">
        <v>710594.73084683623</v>
      </c>
      <c r="J91" s="5">
        <v>51265.459153163712</v>
      </c>
    </row>
    <row r="92" spans="1:10" ht="15" thickBot="1">
      <c r="A92" s="3">
        <v>82116.19</v>
      </c>
      <c r="B92" s="3">
        <v>5988</v>
      </c>
      <c r="C92" s="3">
        <v>91.8</v>
      </c>
      <c r="D92">
        <v>0</v>
      </c>
      <c r="H92" s="5">
        <v>65</v>
      </c>
      <c r="I92" s="5">
        <v>802341.77071831143</v>
      </c>
      <c r="J92" s="5">
        <v>-17839.090718311374</v>
      </c>
    </row>
    <row r="93" spans="1:10" ht="15" thickBot="1">
      <c r="A93" s="3">
        <v>31207.51</v>
      </c>
      <c r="B93" s="3">
        <v>3701</v>
      </c>
      <c r="C93" s="3">
        <v>84.7</v>
      </c>
      <c r="D93">
        <v>0</v>
      </c>
      <c r="H93" s="5">
        <v>66</v>
      </c>
      <c r="I93" s="5">
        <v>733316.82256864128</v>
      </c>
      <c r="J93" s="5">
        <v>-16175.27256864123</v>
      </c>
    </row>
    <row r="94" spans="1:10" ht="15" thickBot="1">
      <c r="A94" s="3">
        <v>38966.589999999997</v>
      </c>
      <c r="B94" s="3">
        <v>4509</v>
      </c>
      <c r="C94" s="3">
        <v>91.1</v>
      </c>
      <c r="D94">
        <v>0</v>
      </c>
      <c r="H94" s="5">
        <v>67</v>
      </c>
      <c r="I94" s="5">
        <v>840081.12220363459</v>
      </c>
      <c r="J94" s="5">
        <v>-154702.04220363463</v>
      </c>
    </row>
    <row r="95" spans="1:10" ht="15" thickBot="1">
      <c r="A95" s="3">
        <v>67439.3</v>
      </c>
      <c r="B95" s="3">
        <v>6477</v>
      </c>
      <c r="C95" s="3">
        <v>90.9</v>
      </c>
      <c r="D95">
        <v>0</v>
      </c>
      <c r="H95" s="5">
        <v>68</v>
      </c>
      <c r="I95" s="5">
        <v>730034.52429592935</v>
      </c>
      <c r="J95" s="5">
        <v>10462.12570407067</v>
      </c>
    </row>
    <row r="96" spans="1:10" ht="15" thickBot="1">
      <c r="A96" s="3">
        <v>86421.88</v>
      </c>
      <c r="B96" s="3">
        <v>7970</v>
      </c>
      <c r="C96" s="3">
        <v>91.3</v>
      </c>
      <c r="D96">
        <v>0</v>
      </c>
      <c r="H96" s="5">
        <v>69</v>
      </c>
      <c r="I96" s="5">
        <v>597903.72725099325</v>
      </c>
      <c r="J96" s="5">
        <v>64023.412749006762</v>
      </c>
    </row>
    <row r="97" spans="1:10" ht="15" thickBot="1">
      <c r="A97" s="3">
        <v>9534.65</v>
      </c>
      <c r="B97" s="3">
        <v>6057</v>
      </c>
      <c r="C97" s="3">
        <v>94.1</v>
      </c>
      <c r="D97">
        <v>0</v>
      </c>
      <c r="H97" s="5">
        <v>70</v>
      </c>
      <c r="I97" s="5">
        <v>511076.0306921255</v>
      </c>
      <c r="J97" s="5">
        <v>-32025.530692125496</v>
      </c>
    </row>
    <row r="98" spans="1:10" ht="15" thickBot="1">
      <c r="A98" s="3">
        <v>61132.07</v>
      </c>
      <c r="B98" s="3">
        <v>6394</v>
      </c>
      <c r="C98" s="3">
        <v>91</v>
      </c>
      <c r="D98">
        <v>0</v>
      </c>
      <c r="H98" s="5">
        <v>71</v>
      </c>
      <c r="I98" s="5">
        <v>602192.59270076349</v>
      </c>
      <c r="J98" s="5">
        <v>2831.2772992365062</v>
      </c>
    </row>
    <row r="99" spans="1:10" ht="15" thickBot="1">
      <c r="A99" s="3">
        <v>78839.39</v>
      </c>
      <c r="B99" s="3">
        <v>5150</v>
      </c>
      <c r="C99" s="3">
        <v>85.8</v>
      </c>
      <c r="D99">
        <v>0</v>
      </c>
      <c r="H99" s="5">
        <v>72</v>
      </c>
      <c r="I99" s="5">
        <v>639905.33297016425</v>
      </c>
      <c r="J99" s="5">
        <v>34868.757029835717</v>
      </c>
    </row>
    <row r="100" spans="1:10" ht="15" thickBot="1">
      <c r="A100" s="3">
        <v>38752.800000000003</v>
      </c>
      <c r="B100" s="3">
        <v>4712</v>
      </c>
      <c r="C100" s="3">
        <v>89.7</v>
      </c>
      <c r="D100">
        <v>0</v>
      </c>
      <c r="H100" s="5">
        <v>73</v>
      </c>
      <c r="I100" s="5">
        <v>616637.9738288864</v>
      </c>
      <c r="J100" s="5">
        <v>-568.56382888637017</v>
      </c>
    </row>
    <row r="101" spans="1:10" ht="15" thickBot="1">
      <c r="A101" s="3">
        <v>55101.1</v>
      </c>
      <c r="B101" s="3">
        <v>5281</v>
      </c>
      <c r="C101" s="3">
        <v>91</v>
      </c>
      <c r="D101">
        <v>0</v>
      </c>
      <c r="H101" s="5">
        <v>74</v>
      </c>
      <c r="I101" s="5">
        <v>702740.86798697803</v>
      </c>
      <c r="J101" s="5">
        <v>-71910.927986978088</v>
      </c>
    </row>
    <row r="102" spans="1:10" ht="15" thickBot="1">
      <c r="A102" s="3">
        <v>53084.76</v>
      </c>
      <c r="B102" s="3">
        <v>3642</v>
      </c>
      <c r="C102" s="3">
        <v>91.4</v>
      </c>
      <c r="D102">
        <v>0</v>
      </c>
      <c r="H102" s="5">
        <v>75</v>
      </c>
      <c r="I102" s="5">
        <v>717098.54958927375</v>
      </c>
      <c r="J102" s="5">
        <v>70989.130410726299</v>
      </c>
    </row>
    <row r="103" spans="1:10" ht="15" thickBot="1">
      <c r="A103" s="3">
        <v>63101.59</v>
      </c>
      <c r="B103" s="3">
        <v>4373</v>
      </c>
      <c r="C103" s="3">
        <v>90.4</v>
      </c>
      <c r="D103">
        <v>0</v>
      </c>
      <c r="H103" s="5">
        <v>76</v>
      </c>
      <c r="I103" s="5">
        <v>728689.31932888948</v>
      </c>
      <c r="J103" s="5">
        <v>-47848.959328889498</v>
      </c>
    </row>
    <row r="104" spans="1:10" ht="15" thickBot="1">
      <c r="A104" s="3">
        <v>90084.4</v>
      </c>
      <c r="B104" s="3">
        <v>6832</v>
      </c>
      <c r="C104" s="3">
        <v>80.5</v>
      </c>
      <c r="D104">
        <v>0</v>
      </c>
      <c r="H104" s="5">
        <v>77</v>
      </c>
      <c r="I104" s="5">
        <v>651016.78342488571</v>
      </c>
      <c r="J104" s="5">
        <v>-7359.3134248857386</v>
      </c>
    </row>
    <row r="105" spans="1:10" ht="15" thickBot="1">
      <c r="A105" s="3">
        <v>32266.639999999999</v>
      </c>
      <c r="B105" s="3">
        <v>2414</v>
      </c>
      <c r="C105" s="3">
        <v>92.1</v>
      </c>
      <c r="D105">
        <v>0</v>
      </c>
      <c r="H105" s="5">
        <v>78</v>
      </c>
      <c r="I105" s="5">
        <v>647932.92710621399</v>
      </c>
      <c r="J105" s="5">
        <v>43179.672893785988</v>
      </c>
    </row>
    <row r="106" spans="1:10" ht="15" thickBot="1">
      <c r="A106" s="3">
        <v>57919.07</v>
      </c>
      <c r="B106" s="3">
        <v>7374</v>
      </c>
      <c r="C106" s="3">
        <v>82.3</v>
      </c>
      <c r="D106">
        <v>0</v>
      </c>
      <c r="H106" s="5">
        <v>79</v>
      </c>
      <c r="I106" s="5">
        <v>723140.64107482578</v>
      </c>
      <c r="J106" s="5">
        <v>53781.528925174265</v>
      </c>
    </row>
    <row r="107" spans="1:10" ht="15" thickBot="1">
      <c r="A107" s="3">
        <v>74679.350000000006</v>
      </c>
      <c r="B107" s="3">
        <v>8739</v>
      </c>
      <c r="C107" s="3">
        <v>91.8</v>
      </c>
      <c r="D107">
        <v>0</v>
      </c>
      <c r="H107" s="5">
        <v>80</v>
      </c>
      <c r="I107" s="5">
        <v>663428.8128329555</v>
      </c>
      <c r="J107" s="5">
        <v>-26867.472832955536</v>
      </c>
    </row>
    <row r="108" spans="1:10" ht="15" thickBot="1">
      <c r="A108" s="3">
        <v>64294.23</v>
      </c>
      <c r="B108" s="3">
        <v>6992</v>
      </c>
      <c r="C108" s="3">
        <v>94.1</v>
      </c>
      <c r="D108">
        <v>0</v>
      </c>
      <c r="H108" s="5">
        <v>81</v>
      </c>
      <c r="I108" s="5">
        <v>632055.40171767795</v>
      </c>
      <c r="J108" s="5">
        <v>-10685.821717677987</v>
      </c>
    </row>
    <row r="109" spans="1:10" ht="15" thickBot="1">
      <c r="A109" s="3">
        <v>31042.03</v>
      </c>
      <c r="B109" s="3">
        <v>7107</v>
      </c>
      <c r="C109" s="3">
        <v>87</v>
      </c>
      <c r="D109">
        <v>0</v>
      </c>
      <c r="H109" s="5">
        <v>82</v>
      </c>
      <c r="I109" s="5">
        <v>616528.01052616956</v>
      </c>
      <c r="J109" s="5">
        <v>65679.999473830452</v>
      </c>
    </row>
    <row r="110" spans="1:10" ht="15" thickBot="1">
      <c r="A110" s="3">
        <v>75265.02</v>
      </c>
      <c r="B110" s="3">
        <v>6975</v>
      </c>
      <c r="C110" s="3">
        <v>73.8</v>
      </c>
      <c r="D110">
        <v>0</v>
      </c>
      <c r="H110" s="5">
        <v>83</v>
      </c>
      <c r="I110" s="5">
        <v>629845.35694124957</v>
      </c>
      <c r="J110" s="5">
        <v>97396.503058750415</v>
      </c>
    </row>
    <row r="111" spans="1:10" ht="15" thickBot="1">
      <c r="A111" s="3">
        <v>69411.7</v>
      </c>
      <c r="B111" s="3">
        <v>5493</v>
      </c>
      <c r="C111" s="3">
        <v>86.5</v>
      </c>
      <c r="D111">
        <v>0</v>
      </c>
      <c r="H111" s="5">
        <v>84</v>
      </c>
      <c r="I111" s="5">
        <v>540330.14011760894</v>
      </c>
      <c r="J111" s="5">
        <v>28770.639882391086</v>
      </c>
    </row>
    <row r="112" spans="1:10" ht="15" thickBot="1">
      <c r="A112" s="3">
        <v>51056.15</v>
      </c>
      <c r="B112" s="3">
        <v>5686</v>
      </c>
      <c r="C112" s="3">
        <v>89.9</v>
      </c>
      <c r="D112">
        <v>0</v>
      </c>
      <c r="H112" s="5">
        <v>85</v>
      </c>
      <c r="I112" s="5">
        <v>552281.16488504247</v>
      </c>
      <c r="J112" s="5">
        <v>22155.125114957569</v>
      </c>
    </row>
    <row r="113" spans="1:10" ht="15" thickBot="1">
      <c r="A113" s="3">
        <v>52758.01</v>
      </c>
      <c r="B113" s="3">
        <v>4063</v>
      </c>
      <c r="C113" s="3">
        <v>91.7</v>
      </c>
      <c r="D113">
        <v>0</v>
      </c>
      <c r="H113" s="5">
        <v>86</v>
      </c>
      <c r="I113" s="5">
        <v>641164.34140958614</v>
      </c>
      <c r="J113" s="5">
        <v>-29397.621409586165</v>
      </c>
    </row>
    <row r="114" spans="1:10" ht="15" thickBot="1">
      <c r="A114" s="3">
        <v>61426.04</v>
      </c>
      <c r="B114" s="3">
        <v>8966</v>
      </c>
      <c r="C114" s="3">
        <v>76.400000000000006</v>
      </c>
      <c r="D114">
        <v>0</v>
      </c>
      <c r="H114" s="5">
        <v>87</v>
      </c>
      <c r="I114" s="5">
        <v>611787.45605596341</v>
      </c>
      <c r="J114" s="5">
        <v>2808.8639440365369</v>
      </c>
    </row>
    <row r="115" spans="1:10" ht="15" thickBot="1">
      <c r="A115" s="3">
        <v>80176.34</v>
      </c>
      <c r="B115" s="3">
        <v>9489</v>
      </c>
      <c r="C115" s="3">
        <v>94.3</v>
      </c>
      <c r="D115">
        <v>0</v>
      </c>
      <c r="H115" s="5">
        <v>88</v>
      </c>
      <c r="I115" s="5">
        <v>450954.1972933755</v>
      </c>
      <c r="J115" s="5">
        <v>-242.27729337551864</v>
      </c>
    </row>
    <row r="116" spans="1:10" ht="15" thickBot="1">
      <c r="A116" s="3">
        <v>33605.18</v>
      </c>
      <c r="B116" s="3">
        <v>9225</v>
      </c>
      <c r="C116" s="3">
        <v>88.4</v>
      </c>
      <c r="D116">
        <v>0</v>
      </c>
      <c r="H116" s="5">
        <v>89</v>
      </c>
      <c r="I116" s="5">
        <v>659996.88852322742</v>
      </c>
      <c r="J116" s="5">
        <v>51216.571476772544</v>
      </c>
    </row>
    <row r="117" spans="1:10" ht="15" thickBot="1">
      <c r="A117" s="3">
        <v>25990.54</v>
      </c>
      <c r="B117" s="3">
        <v>9249</v>
      </c>
      <c r="C117" s="3">
        <v>92.5</v>
      </c>
      <c r="D117">
        <v>0</v>
      </c>
      <c r="H117" s="5">
        <v>90</v>
      </c>
      <c r="I117" s="5">
        <v>736021.96408953983</v>
      </c>
      <c r="J117" s="5">
        <v>-108850.06408953981</v>
      </c>
    </row>
    <row r="118" spans="1:10" ht="15" thickBot="1">
      <c r="A118" s="3">
        <v>43685.14</v>
      </c>
      <c r="B118" s="3">
        <v>7821</v>
      </c>
      <c r="C118" s="3">
        <v>91</v>
      </c>
      <c r="D118">
        <v>0</v>
      </c>
      <c r="H118" s="5">
        <v>91</v>
      </c>
      <c r="I118" s="5">
        <v>699927.02017552638</v>
      </c>
      <c r="J118" s="5">
        <v>39925.559824473574</v>
      </c>
    </row>
    <row r="119" spans="1:10" ht="15" thickBot="1">
      <c r="A119" s="3">
        <v>57360.01</v>
      </c>
      <c r="B119" s="3">
        <v>8434</v>
      </c>
      <c r="C119" s="3">
        <v>84.1</v>
      </c>
      <c r="D119">
        <v>0</v>
      </c>
      <c r="H119" s="5">
        <v>92</v>
      </c>
      <c r="I119" s="5">
        <v>542145.9335018259</v>
      </c>
      <c r="J119" s="5">
        <v>44161.286498174071</v>
      </c>
    </row>
    <row r="120" spans="1:10" ht="15" thickBot="1">
      <c r="A120" s="3">
        <v>42415.47</v>
      </c>
      <c r="B120" s="3">
        <v>8512</v>
      </c>
      <c r="C120" s="3">
        <v>96.8</v>
      </c>
      <c r="D120">
        <v>0</v>
      </c>
      <c r="H120" s="5">
        <v>93</v>
      </c>
      <c r="I120" s="5">
        <v>597386.98180707009</v>
      </c>
      <c r="J120" s="5">
        <v>-11449.501807070104</v>
      </c>
    </row>
    <row r="121" spans="1:10" ht="15" thickBot="1">
      <c r="A121" s="3">
        <v>54968.98</v>
      </c>
      <c r="B121" s="3">
        <v>7816</v>
      </c>
      <c r="C121" s="3">
        <v>95.7</v>
      </c>
      <c r="D121">
        <v>0</v>
      </c>
      <c r="H121" s="5">
        <v>94</v>
      </c>
      <c r="I121" s="5">
        <v>696345.97061797534</v>
      </c>
      <c r="J121" s="5">
        <v>57127.579382024705</v>
      </c>
    </row>
    <row r="122" spans="1:10" ht="15" thickBot="1">
      <c r="A122" s="3">
        <v>43896.13</v>
      </c>
      <c r="B122" s="3">
        <v>3853</v>
      </c>
      <c r="C122" s="3">
        <v>83</v>
      </c>
      <c r="D122">
        <v>0</v>
      </c>
      <c r="H122" s="5">
        <v>95</v>
      </c>
      <c r="I122" s="5">
        <v>769971.66221712437</v>
      </c>
      <c r="J122" s="5">
        <v>68278.657782875584</v>
      </c>
    </row>
    <row r="123" spans="1:10" ht="15" thickBot="1">
      <c r="A123" s="3">
        <v>83044.17</v>
      </c>
      <c r="B123" s="3">
        <v>3694</v>
      </c>
      <c r="C123" s="3">
        <v>89.4</v>
      </c>
      <c r="D123">
        <v>0</v>
      </c>
      <c r="H123" s="5">
        <v>96</v>
      </c>
      <c r="I123" s="5">
        <v>623495.5167513194</v>
      </c>
      <c r="J123" s="5">
        <v>-15597.396751319407</v>
      </c>
    </row>
    <row r="124" spans="1:10" ht="15" thickBot="1">
      <c r="A124" s="3">
        <v>48396.13</v>
      </c>
      <c r="B124" s="3">
        <v>4423</v>
      </c>
      <c r="C124" s="3">
        <v>85.7</v>
      </c>
      <c r="D124">
        <v>0</v>
      </c>
      <c r="H124" s="5">
        <v>97</v>
      </c>
      <c r="I124" s="5">
        <v>686423.79863615066</v>
      </c>
      <c r="J124" s="5">
        <v>4689.8213638493326</v>
      </c>
    </row>
    <row r="125" spans="1:10" ht="15" thickBot="1">
      <c r="A125" s="3">
        <v>19063.48</v>
      </c>
      <c r="B125" s="3">
        <v>1906</v>
      </c>
      <c r="C125" s="3">
        <v>97.8</v>
      </c>
      <c r="D125">
        <v>0</v>
      </c>
      <c r="H125" s="5">
        <v>98</v>
      </c>
      <c r="I125" s="5">
        <v>650152.39790266077</v>
      </c>
      <c r="J125" s="5">
        <v>85357.002097339253</v>
      </c>
    </row>
    <row r="126" spans="1:10" ht="15" thickBot="1">
      <c r="A126" s="3">
        <v>61541.21</v>
      </c>
      <c r="B126" s="3">
        <v>10396</v>
      </c>
      <c r="C126" s="3">
        <v>88.1</v>
      </c>
      <c r="D126">
        <v>0</v>
      </c>
      <c r="H126" s="5">
        <v>99</v>
      </c>
      <c r="I126" s="5">
        <v>599784.37614914204</v>
      </c>
      <c r="J126" s="5">
        <v>5990.9538508579135</v>
      </c>
    </row>
    <row r="127" spans="1:10" ht="15" thickBot="1">
      <c r="A127" s="3">
        <v>44747</v>
      </c>
      <c r="B127" s="3">
        <v>11076</v>
      </c>
      <c r="C127" s="3">
        <v>98.3</v>
      </c>
      <c r="D127">
        <v>0</v>
      </c>
      <c r="H127" s="5">
        <v>100</v>
      </c>
      <c r="I127" s="5">
        <v>641996.44227167801</v>
      </c>
      <c r="J127" s="5">
        <v>33181.237728322041</v>
      </c>
    </row>
    <row r="128" spans="1:10" ht="15" thickBot="1">
      <c r="A128" s="3">
        <v>56517.9</v>
      </c>
      <c r="B128" s="3">
        <v>9574</v>
      </c>
      <c r="C128" s="3">
        <v>88.2</v>
      </c>
      <c r="D128">
        <v>0</v>
      </c>
      <c r="H128" s="5">
        <v>101</v>
      </c>
      <c r="I128" s="5">
        <v>585854.19321405608</v>
      </c>
      <c r="J128" s="5">
        <v>49327.156785943895</v>
      </c>
    </row>
    <row r="129" spans="1:10" ht="15" thickBot="1">
      <c r="A129" s="3">
        <v>37828.5</v>
      </c>
      <c r="B129" s="3">
        <v>8221</v>
      </c>
      <c r="C129" s="3">
        <v>81.5</v>
      </c>
      <c r="D129">
        <v>0</v>
      </c>
      <c r="H129" s="5">
        <v>102</v>
      </c>
      <c r="I129" s="5">
        <v>619204.03021434648</v>
      </c>
      <c r="J129" s="5">
        <v>-32577.090214346536</v>
      </c>
    </row>
    <row r="130" spans="1:10" ht="15" thickBot="1">
      <c r="A130" s="3">
        <v>66250.53</v>
      </c>
      <c r="B130" s="3">
        <v>10618</v>
      </c>
      <c r="C130" s="3">
        <v>88.3</v>
      </c>
      <c r="D130">
        <v>0</v>
      </c>
      <c r="H130" s="5">
        <v>103</v>
      </c>
      <c r="I130" s="5">
        <v>704068.33700775052</v>
      </c>
      <c r="J130" s="5">
        <v>36034.30299224949</v>
      </c>
    </row>
    <row r="131" spans="1:10" ht="15" thickBot="1">
      <c r="A131" s="3">
        <v>68410.929999999993</v>
      </c>
      <c r="B131" s="3">
        <v>10596</v>
      </c>
      <c r="C131" s="3">
        <v>81.2</v>
      </c>
      <c r="D131">
        <v>0</v>
      </c>
      <c r="H131" s="5">
        <v>104</v>
      </c>
      <c r="I131" s="5">
        <v>522215.3752036512</v>
      </c>
      <c r="J131" s="5">
        <v>103298.66479634884</v>
      </c>
    </row>
    <row r="132" spans="1:10" ht="15" thickBot="1">
      <c r="A132" s="3">
        <v>50735.63</v>
      </c>
      <c r="B132" s="3">
        <v>9619</v>
      </c>
      <c r="C132" s="3">
        <v>93.8</v>
      </c>
      <c r="D132">
        <v>0</v>
      </c>
      <c r="H132" s="5">
        <v>105</v>
      </c>
      <c r="I132" s="5">
        <v>689661.94947979983</v>
      </c>
      <c r="J132" s="5">
        <v>37565.250520200119</v>
      </c>
    </row>
    <row r="133" spans="1:10" ht="15" thickBot="1">
      <c r="A133" s="3">
        <v>66455.8</v>
      </c>
      <c r="B133" s="3">
        <v>10836</v>
      </c>
      <c r="C133" s="3">
        <v>85</v>
      </c>
      <c r="D133">
        <v>0</v>
      </c>
      <c r="H133" s="5">
        <v>106</v>
      </c>
      <c r="I133" s="5">
        <v>783394.87229682901</v>
      </c>
      <c r="J133" s="5">
        <v>403.01770317100454</v>
      </c>
    </row>
    <row r="134" spans="1:10" ht="15" thickBot="1">
      <c r="A134" s="3">
        <v>70276.28</v>
      </c>
      <c r="B134" s="3">
        <v>3043</v>
      </c>
      <c r="C134" s="3">
        <v>87.9</v>
      </c>
      <c r="D134">
        <v>0</v>
      </c>
      <c r="H134" s="5">
        <v>107</v>
      </c>
      <c r="I134" s="5">
        <v>719406.07697600732</v>
      </c>
      <c r="J134" s="5">
        <v>75747.763023992651</v>
      </c>
    </row>
    <row r="135" spans="1:10" ht="15" thickBot="1">
      <c r="A135" s="3">
        <v>22071.64</v>
      </c>
      <c r="B135" s="3">
        <v>1814</v>
      </c>
      <c r="C135" s="3">
        <v>81.099999999999994</v>
      </c>
      <c r="D135">
        <v>0</v>
      </c>
      <c r="H135" s="5">
        <v>108</v>
      </c>
      <c r="I135" s="5">
        <v>662976.63925575058</v>
      </c>
      <c r="J135" s="5">
        <v>2618.300744249369</v>
      </c>
    </row>
    <row r="136" spans="1:10" ht="15" thickBot="1">
      <c r="A136" s="3">
        <v>52285.45</v>
      </c>
      <c r="B136" s="3">
        <v>3618</v>
      </c>
      <c r="C136" s="3">
        <v>95.6</v>
      </c>
      <c r="D136">
        <v>0</v>
      </c>
      <c r="H136" s="5">
        <v>109</v>
      </c>
      <c r="I136" s="5">
        <v>671497.6961296415</v>
      </c>
      <c r="J136" s="5">
        <v>37980.693870358518</v>
      </c>
    </row>
    <row r="137" spans="1:10" ht="15" thickBot="1">
      <c r="A137" s="3">
        <v>70366.759999999995</v>
      </c>
      <c r="B137" s="3">
        <v>1963</v>
      </c>
      <c r="C137" s="3">
        <v>89.8</v>
      </c>
      <c r="D137">
        <v>0</v>
      </c>
      <c r="H137" s="5">
        <v>110</v>
      </c>
      <c r="I137" s="5">
        <v>652615.64787409455</v>
      </c>
      <c r="J137" s="5">
        <v>11546.842125905445</v>
      </c>
    </row>
    <row r="138" spans="1:10" ht="15" thickBot="1">
      <c r="A138" s="3">
        <v>71320.66</v>
      </c>
      <c r="B138" s="3">
        <v>7888</v>
      </c>
      <c r="C138" s="3">
        <v>78.099999999999994</v>
      </c>
      <c r="D138">
        <v>0</v>
      </c>
      <c r="H138" s="5">
        <v>111</v>
      </c>
      <c r="I138" s="5">
        <v>647540.30311014177</v>
      </c>
      <c r="J138" s="5">
        <v>-14046.09311014181</v>
      </c>
    </row>
    <row r="139" spans="1:10" ht="15" thickBot="1">
      <c r="A139" s="3">
        <v>75109.67</v>
      </c>
      <c r="B139" s="3">
        <v>6244</v>
      </c>
      <c r="C139" s="3">
        <v>96.3</v>
      </c>
      <c r="D139">
        <v>0</v>
      </c>
      <c r="H139" s="5">
        <v>112</v>
      </c>
      <c r="I139" s="5">
        <v>600475.03490964579</v>
      </c>
      <c r="J139" s="5">
        <v>113136.12509035424</v>
      </c>
    </row>
    <row r="140" spans="1:10" ht="15" thickBot="1">
      <c r="A140" s="3">
        <v>69779</v>
      </c>
      <c r="B140" s="3">
        <v>6544</v>
      </c>
      <c r="C140" s="3">
        <v>90.2</v>
      </c>
      <c r="D140">
        <v>0</v>
      </c>
      <c r="H140" s="5">
        <v>113</v>
      </c>
      <c r="I140" s="5">
        <v>729655.70982154482</v>
      </c>
      <c r="J140" s="5">
        <v>48742.260178455152</v>
      </c>
    </row>
    <row r="141" spans="1:10" ht="15" thickBot="1">
      <c r="A141" s="3">
        <v>44211.95</v>
      </c>
      <c r="B141" s="3">
        <v>5465</v>
      </c>
      <c r="C141" s="3">
        <v>90</v>
      </c>
      <c r="D141">
        <v>0</v>
      </c>
      <c r="H141" s="5">
        <v>114</v>
      </c>
      <c r="I141" s="5">
        <v>822444.73312852043</v>
      </c>
      <c r="J141" s="5">
        <v>50935.286871479591</v>
      </c>
    </row>
    <row r="142" spans="1:10" ht="15" thickBot="1">
      <c r="A142" s="3">
        <v>51430.31</v>
      </c>
      <c r="B142" s="3">
        <v>6427</v>
      </c>
      <c r="C142" s="3">
        <v>88.8</v>
      </c>
      <c r="D142">
        <v>0</v>
      </c>
      <c r="H142" s="5">
        <v>115</v>
      </c>
      <c r="I142" s="5">
        <v>741167.96295114362</v>
      </c>
      <c r="J142" s="5">
        <v>-43880.062951143598</v>
      </c>
    </row>
    <row r="143" spans="1:10" ht="15" thickBot="1">
      <c r="A143" s="3">
        <v>45706.49</v>
      </c>
      <c r="B143" s="3">
        <v>6704</v>
      </c>
      <c r="C143" s="3">
        <v>94.2</v>
      </c>
      <c r="D143">
        <v>0</v>
      </c>
      <c r="H143" s="5">
        <v>116</v>
      </c>
      <c r="I143" s="5">
        <v>745168.31486837706</v>
      </c>
      <c r="J143" s="5">
        <v>-27093.524868377019</v>
      </c>
    </row>
    <row r="144" spans="1:10" ht="15" thickBot="1">
      <c r="A144" s="3">
        <v>44034.6</v>
      </c>
      <c r="B144" s="3">
        <v>5645</v>
      </c>
      <c r="C144" s="3">
        <v>88.5</v>
      </c>
      <c r="D144">
        <v>0</v>
      </c>
      <c r="H144" s="5">
        <v>117</v>
      </c>
      <c r="I144" s="5">
        <v>713698.45945717348</v>
      </c>
      <c r="J144" s="5">
        <v>1243.9705428265734</v>
      </c>
    </row>
    <row r="145" spans="1:10" ht="15" thickBot="1">
      <c r="A145" s="3">
        <v>50198.12</v>
      </c>
      <c r="B145" s="3">
        <v>6089</v>
      </c>
      <c r="C145" s="3">
        <v>94</v>
      </c>
      <c r="D145">
        <v>0</v>
      </c>
      <c r="H145" s="5">
        <v>118</v>
      </c>
      <c r="I145" s="5">
        <v>729887.04882997868</v>
      </c>
      <c r="J145" s="5">
        <v>90631.991170021356</v>
      </c>
    </row>
    <row r="146" spans="1:10" ht="15" thickBot="1">
      <c r="A146" s="3">
        <v>70488.2</v>
      </c>
      <c r="B146" s="3">
        <v>4312</v>
      </c>
      <c r="C146" s="3">
        <v>90.2</v>
      </c>
      <c r="D146">
        <v>0</v>
      </c>
      <c r="H146" s="5">
        <v>119</v>
      </c>
      <c r="I146" s="5">
        <v>752590.31730687595</v>
      </c>
      <c r="J146" s="5">
        <v>-68372.997306876001</v>
      </c>
    </row>
    <row r="147" spans="1:10" ht="15" thickBot="1">
      <c r="A147" s="3">
        <v>50909.27</v>
      </c>
      <c r="B147" s="3">
        <v>3152</v>
      </c>
      <c r="C147" s="3">
        <v>93.7</v>
      </c>
      <c r="D147">
        <v>0</v>
      </c>
      <c r="H147" s="5">
        <v>120</v>
      </c>
      <c r="I147" s="5">
        <v>740789.3417975246</v>
      </c>
      <c r="J147" s="5">
        <v>-5309.1517975246534</v>
      </c>
    </row>
    <row r="148" spans="1:10" ht="15" thickBot="1">
      <c r="A148" s="3">
        <v>53351.7</v>
      </c>
      <c r="B148" s="3">
        <v>4259</v>
      </c>
      <c r="C148" s="3">
        <v>93.7</v>
      </c>
      <c r="D148">
        <v>0</v>
      </c>
      <c r="H148" s="5">
        <v>121</v>
      </c>
      <c r="I148" s="5">
        <v>557154.64811341721</v>
      </c>
      <c r="J148" s="5">
        <v>-47669.838113417209</v>
      </c>
    </row>
    <row r="149" spans="1:10" ht="15" thickBot="1">
      <c r="A149" s="3">
        <v>60322.400000000001</v>
      </c>
      <c r="B149" s="3">
        <v>3350</v>
      </c>
      <c r="C149" s="3">
        <v>89.4</v>
      </c>
      <c r="D149">
        <v>0</v>
      </c>
      <c r="H149" s="5">
        <v>122</v>
      </c>
      <c r="I149" s="5">
        <v>616981.68552140845</v>
      </c>
      <c r="J149" s="5">
        <v>37335.404478591518</v>
      </c>
    </row>
    <row r="150" spans="1:10" ht="15" thickBot="1">
      <c r="A150" s="3">
        <v>51575.68</v>
      </c>
      <c r="B150" s="3">
        <v>5329</v>
      </c>
      <c r="C150" s="3">
        <v>88.1</v>
      </c>
      <c r="D150">
        <v>0</v>
      </c>
      <c r="H150" s="5">
        <v>123</v>
      </c>
      <c r="I150" s="5">
        <v>589587.8114557045</v>
      </c>
      <c r="J150" s="5">
        <v>-32100.551455704495</v>
      </c>
    </row>
    <row r="151" spans="1:10" ht="15" thickBot="1">
      <c r="A151" s="3">
        <v>43319.94</v>
      </c>
      <c r="B151" s="3">
        <v>6551</v>
      </c>
      <c r="C151" s="3">
        <v>99</v>
      </c>
      <c r="D151">
        <v>0</v>
      </c>
      <c r="H151" s="5">
        <v>124</v>
      </c>
      <c r="I151" s="5">
        <v>506540.4521775638</v>
      </c>
      <c r="J151" s="5">
        <v>-65265.032177563815</v>
      </c>
    </row>
    <row r="152" spans="1:10" ht="15" thickBot="1">
      <c r="A152" s="3">
        <v>47093.55</v>
      </c>
      <c r="B152" s="3">
        <v>5550</v>
      </c>
      <c r="C152" s="3">
        <v>95</v>
      </c>
      <c r="D152">
        <v>0</v>
      </c>
      <c r="H152" s="5">
        <v>125</v>
      </c>
      <c r="I152" s="5">
        <v>812475.36479903781</v>
      </c>
      <c r="J152" s="5">
        <v>102068.80520096223</v>
      </c>
    </row>
    <row r="153" spans="1:10" ht="15" thickBot="1">
      <c r="A153" s="3">
        <v>71855.09</v>
      </c>
      <c r="B153" s="3">
        <v>5911</v>
      </c>
      <c r="C153" s="3">
        <v>94.3</v>
      </c>
      <c r="D153">
        <v>0</v>
      </c>
      <c r="H153" s="5">
        <v>126</v>
      </c>
      <c r="I153" s="5">
        <v>845759.02212510537</v>
      </c>
      <c r="J153" s="5">
        <v>-3319.3521251053317</v>
      </c>
    </row>
    <row r="154" spans="1:10" ht="15" thickBot="1">
      <c r="A154" s="3">
        <v>75645.23</v>
      </c>
      <c r="B154" s="3">
        <v>9674</v>
      </c>
      <c r="C154" s="3">
        <v>87.4</v>
      </c>
      <c r="D154">
        <v>0</v>
      </c>
      <c r="H154" s="5">
        <v>127</v>
      </c>
      <c r="I154" s="5">
        <v>779289.64353736606</v>
      </c>
      <c r="J154" s="5">
        <v>62868.276462633978</v>
      </c>
    </row>
    <row r="155" spans="1:10" ht="15" thickBot="1">
      <c r="A155" s="3">
        <v>64374.75</v>
      </c>
      <c r="B155" s="3">
        <v>6740</v>
      </c>
      <c r="C155" s="3">
        <v>87</v>
      </c>
      <c r="D155">
        <v>0</v>
      </c>
      <c r="H155" s="5">
        <v>128</v>
      </c>
      <c r="I155" s="5">
        <v>691998.13663239207</v>
      </c>
      <c r="J155" s="5">
        <v>5157.16336760798</v>
      </c>
    </row>
    <row r="156" spans="1:10" ht="15" thickBot="1">
      <c r="A156" s="3">
        <v>61433.84</v>
      </c>
      <c r="B156" s="3">
        <v>7745</v>
      </c>
      <c r="C156" s="3">
        <v>90.5</v>
      </c>
      <c r="D156">
        <v>0</v>
      </c>
      <c r="H156" s="5">
        <v>129</v>
      </c>
      <c r="I156" s="5">
        <v>826064.74050835543</v>
      </c>
      <c r="J156" s="5">
        <v>22953.559491644613</v>
      </c>
    </row>
    <row r="157" spans="1:10" ht="15" thickBot="1">
      <c r="A157" s="3">
        <v>42698.14</v>
      </c>
      <c r="B157" s="3">
        <v>7693</v>
      </c>
      <c r="C157" s="3">
        <v>90.1</v>
      </c>
      <c r="D157">
        <v>0</v>
      </c>
      <c r="H157" s="5">
        <v>130</v>
      </c>
      <c r="I157" s="5">
        <v>806793.5349724089</v>
      </c>
      <c r="J157" s="5">
        <v>-4963.1849724089261</v>
      </c>
    </row>
    <row r="158" spans="1:10" ht="15" thickBot="1">
      <c r="A158" s="3">
        <v>86883.31</v>
      </c>
      <c r="B158" s="3">
        <v>6424</v>
      </c>
      <c r="C158" s="3">
        <v>85.2</v>
      </c>
      <c r="D158">
        <v>0</v>
      </c>
      <c r="H158" s="5">
        <v>131</v>
      </c>
      <c r="I158" s="5">
        <v>790608.12776687043</v>
      </c>
      <c r="J158" s="5">
        <v>-65372.8477668704</v>
      </c>
    </row>
    <row r="159" spans="1:10" ht="15" thickBot="1">
      <c r="A159" s="3">
        <v>41863.08</v>
      </c>
      <c r="B159" s="3">
        <v>5400</v>
      </c>
      <c r="C159" s="3">
        <v>91.6</v>
      </c>
      <c r="D159">
        <v>0</v>
      </c>
      <c r="H159" s="5">
        <v>132</v>
      </c>
      <c r="I159" s="5">
        <v>823817.81454122253</v>
      </c>
      <c r="J159" s="5">
        <v>-12365.094541222556</v>
      </c>
    </row>
    <row r="160" spans="1:10" ht="15" thickBot="1">
      <c r="A160" s="3">
        <v>56918.16</v>
      </c>
      <c r="B160" s="3">
        <v>7015</v>
      </c>
      <c r="C160" s="3">
        <v>74.2</v>
      </c>
      <c r="D160">
        <v>0</v>
      </c>
      <c r="H160" s="5">
        <v>133</v>
      </c>
      <c r="I160" s="5">
        <v>575647.80591771565</v>
      </c>
      <c r="J160" s="5">
        <v>-48347.675917715649</v>
      </c>
    </row>
    <row r="161" spans="1:10" ht="15" thickBot="1">
      <c r="A161" s="3">
        <v>23254.57</v>
      </c>
      <c r="B161" s="3">
        <v>3847</v>
      </c>
      <c r="C161" s="3">
        <v>93</v>
      </c>
      <c r="D161">
        <v>0</v>
      </c>
      <c r="H161" s="5">
        <v>134</v>
      </c>
      <c r="I161" s="5">
        <v>457418.29907508154</v>
      </c>
      <c r="J161" s="5">
        <v>-56586.649075081514</v>
      </c>
    </row>
    <row r="162" spans="1:10" ht="15" thickBot="1">
      <c r="A162" s="3">
        <v>41443.410000000003</v>
      </c>
      <c r="B162" s="3">
        <v>7455</v>
      </c>
      <c r="C162" s="3">
        <v>90.1</v>
      </c>
      <c r="D162">
        <v>0</v>
      </c>
      <c r="H162" s="5">
        <v>135</v>
      </c>
      <c r="I162" s="5">
        <v>596577.4052236334</v>
      </c>
      <c r="J162" s="5">
        <v>-3330.1552236333955</v>
      </c>
    </row>
    <row r="163" spans="1:10" ht="15" thickBot="1">
      <c r="A163" s="3">
        <v>48438.85</v>
      </c>
      <c r="B163" s="3">
        <v>6992</v>
      </c>
      <c r="C163" s="3">
        <v>91</v>
      </c>
      <c r="D163">
        <v>0</v>
      </c>
      <c r="H163" s="5">
        <v>136</v>
      </c>
      <c r="I163" s="5">
        <v>545185.40627391706</v>
      </c>
      <c r="J163" s="5">
        <v>-16109.456273917109</v>
      </c>
    </row>
    <row r="164" spans="1:10" ht="15" thickBot="1">
      <c r="A164" s="3">
        <v>57143.3</v>
      </c>
      <c r="B164" s="3">
        <v>8038</v>
      </c>
      <c r="C164" s="3">
        <v>72.599999999999994</v>
      </c>
      <c r="D164">
        <v>0</v>
      </c>
      <c r="H164" s="5">
        <v>137</v>
      </c>
      <c r="I164" s="5">
        <v>710225.66136105568</v>
      </c>
      <c r="J164" s="5">
        <v>-76587.631361055654</v>
      </c>
    </row>
    <row r="165" spans="1:10" ht="15" thickBot="1">
      <c r="A165" s="3">
        <v>66870.62</v>
      </c>
      <c r="B165" s="3">
        <v>6055</v>
      </c>
      <c r="C165" s="3">
        <v>93.8</v>
      </c>
      <c r="D165">
        <v>0</v>
      </c>
      <c r="H165" s="5">
        <v>138</v>
      </c>
      <c r="I165" s="5">
        <v>713610.52182384965</v>
      </c>
      <c r="J165" s="5">
        <v>29738.318176150322</v>
      </c>
    </row>
    <row r="166" spans="1:10" ht="15" thickBot="1">
      <c r="A166" s="3">
        <v>72150.53</v>
      </c>
      <c r="B166" s="3">
        <v>9323</v>
      </c>
      <c r="C166" s="3">
        <v>82.9</v>
      </c>
      <c r="D166">
        <v>0</v>
      </c>
      <c r="H166" s="5">
        <v>139</v>
      </c>
      <c r="I166" s="5">
        <v>699272.49157149834</v>
      </c>
      <c r="J166" s="5">
        <v>59555.148428501678</v>
      </c>
    </row>
    <row r="167" spans="1:10" ht="15" thickBot="1">
      <c r="A167" s="3">
        <v>35303.300000000003</v>
      </c>
      <c r="B167" s="3">
        <v>8789</v>
      </c>
      <c r="C167" s="3">
        <v>86.1</v>
      </c>
      <c r="D167">
        <v>0</v>
      </c>
      <c r="H167" s="5">
        <v>140</v>
      </c>
      <c r="I167" s="5">
        <v>632358.15812304686</v>
      </c>
      <c r="J167" s="5">
        <v>14201.551876953105</v>
      </c>
    </row>
    <row r="168" spans="1:10" ht="15" thickBot="1">
      <c r="A168" s="3">
        <v>30301.86</v>
      </c>
      <c r="B168" s="3">
        <v>6939</v>
      </c>
      <c r="C168" s="3">
        <v>90.3</v>
      </c>
      <c r="D168">
        <v>0</v>
      </c>
      <c r="H168" s="5">
        <v>141</v>
      </c>
      <c r="I168" s="5">
        <v>669559.76628310757</v>
      </c>
      <c r="J168" s="5">
        <v>46330.763716892456</v>
      </c>
    </row>
    <row r="169" spans="1:10" ht="15" thickBot="1">
      <c r="A169" s="3">
        <v>78432.14</v>
      </c>
      <c r="B169" s="3">
        <v>9440</v>
      </c>
      <c r="C169" s="3">
        <v>89.2</v>
      </c>
      <c r="D169">
        <v>0</v>
      </c>
      <c r="H169" s="5">
        <v>142</v>
      </c>
      <c r="I169" s="5">
        <v>688131.8691433036</v>
      </c>
      <c r="J169" s="5">
        <v>26965.700856696349</v>
      </c>
    </row>
    <row r="170" spans="1:10" ht="15" thickBot="1">
      <c r="A170" s="3">
        <v>62059.18</v>
      </c>
      <c r="B170" s="3">
        <v>9374</v>
      </c>
      <c r="C170" s="3">
        <v>87.1</v>
      </c>
      <c r="D170">
        <v>0</v>
      </c>
      <c r="H170" s="5">
        <v>143</v>
      </c>
      <c r="I170" s="5">
        <v>633730.45677851653</v>
      </c>
      <c r="J170" s="5">
        <v>48908.823221483501</v>
      </c>
    </row>
    <row r="171" spans="1:10" ht="15" thickBot="1">
      <c r="A171" s="3">
        <v>32834.480000000003</v>
      </c>
      <c r="B171" s="3">
        <v>7576</v>
      </c>
      <c r="C171" s="3">
        <v>84.1</v>
      </c>
      <c r="D171">
        <v>0</v>
      </c>
      <c r="H171" s="5">
        <v>144</v>
      </c>
      <c r="I171" s="5">
        <v>672213.88861268235</v>
      </c>
      <c r="J171" s="5">
        <v>22884.62138731766</v>
      </c>
    </row>
    <row r="172" spans="1:10" ht="15" thickBot="1">
      <c r="A172" s="3">
        <v>50825.08</v>
      </c>
      <c r="B172" s="3">
        <v>8949</v>
      </c>
      <c r="C172" s="3">
        <v>84.7</v>
      </c>
      <c r="D172">
        <v>0</v>
      </c>
      <c r="H172" s="5">
        <v>145</v>
      </c>
      <c r="I172" s="5">
        <v>625273.83167075319</v>
      </c>
      <c r="J172" s="5">
        <v>-47541.261670753243</v>
      </c>
    </row>
    <row r="173" spans="1:10" ht="15" thickBot="1">
      <c r="A173" s="3">
        <v>36606.51</v>
      </c>
      <c r="B173" s="3">
        <v>7671</v>
      </c>
      <c r="C173" s="3">
        <v>89.8</v>
      </c>
      <c r="D173">
        <v>0</v>
      </c>
      <c r="H173" s="5">
        <v>146</v>
      </c>
      <c r="I173" s="5">
        <v>573689.45473548537</v>
      </c>
      <c r="J173" s="5">
        <v>-36631.124735485413</v>
      </c>
    </row>
    <row r="174" spans="1:10" ht="15" thickBot="1">
      <c r="A174" s="3">
        <v>65237.79</v>
      </c>
      <c r="B174" s="3">
        <v>8741</v>
      </c>
      <c r="C174" s="3">
        <v>94.4</v>
      </c>
      <c r="D174">
        <v>0</v>
      </c>
      <c r="H174" s="5">
        <v>147</v>
      </c>
      <c r="I174" s="5">
        <v>613684.74021963682</v>
      </c>
      <c r="J174" s="5">
        <v>-12115.870219636825</v>
      </c>
    </row>
    <row r="175" spans="1:10" ht="15" thickBot="1">
      <c r="A175" s="3">
        <v>43645.98</v>
      </c>
      <c r="B175" s="3">
        <v>9480</v>
      </c>
      <c r="C175" s="3">
        <v>89</v>
      </c>
      <c r="D175">
        <v>0</v>
      </c>
      <c r="H175" s="5">
        <v>148</v>
      </c>
      <c r="I175" s="5">
        <v>578658.95369190001</v>
      </c>
      <c r="J175" s="5">
        <v>-7694.1136919000419</v>
      </c>
    </row>
    <row r="176" spans="1:10" ht="15" thickBot="1">
      <c r="A176" s="3">
        <v>68040.149999999994</v>
      </c>
      <c r="B176" s="3">
        <v>9826</v>
      </c>
      <c r="C176" s="3">
        <v>83.9</v>
      </c>
      <c r="D176">
        <v>0</v>
      </c>
      <c r="H176" s="5">
        <v>149</v>
      </c>
      <c r="I176" s="5">
        <v>630838.88043492241</v>
      </c>
      <c r="J176" s="5">
        <v>-16813.970434922376</v>
      </c>
    </row>
    <row r="177" spans="1:10" ht="15" thickBot="1">
      <c r="A177" s="3">
        <v>63043.94</v>
      </c>
      <c r="B177" s="3">
        <v>10402</v>
      </c>
      <c r="C177" s="3">
        <v>93.9</v>
      </c>
      <c r="D177">
        <v>0</v>
      </c>
      <c r="H177" s="5">
        <v>150</v>
      </c>
      <c r="I177" s="5">
        <v>694440.05728695448</v>
      </c>
      <c r="J177" s="5">
        <v>18428.292713045492</v>
      </c>
    </row>
    <row r="178" spans="1:10" ht="15" thickBot="1">
      <c r="A178" s="3">
        <v>67494.09</v>
      </c>
      <c r="B178" s="3">
        <v>12361</v>
      </c>
      <c r="C178" s="3">
        <v>76.599999999999994</v>
      </c>
      <c r="D178">
        <v>1</v>
      </c>
      <c r="H178" s="5">
        <v>151</v>
      </c>
      <c r="I178" s="5">
        <v>653451.03487551934</v>
      </c>
      <c r="J178" s="5">
        <v>43293.115124480682</v>
      </c>
    </row>
    <row r="179" spans="1:10" ht="15" thickBot="1">
      <c r="A179" s="3">
        <v>29389.32</v>
      </c>
      <c r="B179" s="3">
        <v>7925</v>
      </c>
      <c r="C179" s="3">
        <v>90.9</v>
      </c>
      <c r="D179">
        <v>1</v>
      </c>
      <c r="H179" s="5">
        <v>152</v>
      </c>
      <c r="I179" s="5">
        <v>692670.26205104939</v>
      </c>
      <c r="J179" s="5">
        <v>33177.727948950604</v>
      </c>
    </row>
    <row r="180" spans="1:10" ht="15" thickBot="1">
      <c r="A180" s="3">
        <v>40535.089999999997</v>
      </c>
      <c r="B180" s="3">
        <v>8870</v>
      </c>
      <c r="C180" s="3">
        <v>86.6</v>
      </c>
      <c r="D180">
        <v>1</v>
      </c>
      <c r="H180" s="5">
        <v>153</v>
      </c>
      <c r="I180" s="5">
        <v>802818.36012404156</v>
      </c>
      <c r="J180" s="5">
        <v>-17790.110124041559</v>
      </c>
    </row>
    <row r="181" spans="1:10" ht="15" thickBot="1">
      <c r="A181" s="3">
        <v>74881.56</v>
      </c>
      <c r="B181" s="3">
        <v>9999</v>
      </c>
      <c r="C181" s="3">
        <v>89.6</v>
      </c>
      <c r="D181">
        <v>1</v>
      </c>
      <c r="H181" s="5">
        <v>154</v>
      </c>
      <c r="I181" s="5">
        <v>689971.21287721791</v>
      </c>
      <c r="J181" s="5">
        <v>8521.4571227821289</v>
      </c>
    </row>
    <row r="182" spans="1:10" ht="15" thickBot="1">
      <c r="A182" s="3">
        <v>68491.11</v>
      </c>
      <c r="B182" s="3">
        <v>11154</v>
      </c>
      <c r="C182" s="3">
        <v>89.4</v>
      </c>
      <c r="D182">
        <v>0</v>
      </c>
      <c r="H182" s="5">
        <v>155</v>
      </c>
      <c r="I182" s="5">
        <v>730591.54748678918</v>
      </c>
      <c r="J182" s="5">
        <v>-44761.307486789185</v>
      </c>
    </row>
    <row r="183" spans="1:10" ht="15" thickBot="1">
      <c r="A183" s="3">
        <v>45209.25</v>
      </c>
      <c r="B183" s="3">
        <v>9287</v>
      </c>
      <c r="C183" s="3">
        <v>86.4</v>
      </c>
      <c r="D183">
        <v>0</v>
      </c>
      <c r="H183" s="5">
        <v>156</v>
      </c>
      <c r="I183" s="5">
        <v>705570.97862621443</v>
      </c>
      <c r="J183" s="5">
        <v>-3252.0386262144893</v>
      </c>
    </row>
    <row r="184" spans="1:10" ht="15" thickBot="1">
      <c r="A184" s="3">
        <v>63010.23</v>
      </c>
      <c r="B184" s="3">
        <v>9812</v>
      </c>
      <c r="C184" s="3">
        <v>76.8</v>
      </c>
      <c r="D184">
        <v>0</v>
      </c>
      <c r="H184" s="5">
        <v>157</v>
      </c>
      <c r="I184" s="5">
        <v>700569.59230249317</v>
      </c>
      <c r="J184" s="5">
        <v>-491.2723024932202</v>
      </c>
    </row>
    <row r="185" spans="1:10" ht="15" thickBot="1">
      <c r="A185" s="3">
        <v>57948.88</v>
      </c>
      <c r="B185" s="3">
        <v>10741</v>
      </c>
      <c r="C185" s="3">
        <v>90.1</v>
      </c>
      <c r="D185">
        <v>0</v>
      </c>
      <c r="H185" s="5">
        <v>158</v>
      </c>
      <c r="I185" s="5">
        <v>632160.08416797407</v>
      </c>
      <c r="J185" s="5">
        <v>-30157.764167974121</v>
      </c>
    </row>
    <row r="186" spans="1:10" ht="15" thickBot="1">
      <c r="A186" s="3">
        <v>71941.62</v>
      </c>
      <c r="B186" s="3">
        <v>6084</v>
      </c>
      <c r="C186" s="3">
        <v>93.7</v>
      </c>
      <c r="D186">
        <v>0</v>
      </c>
      <c r="H186" s="5">
        <v>159</v>
      </c>
      <c r="I186" s="5">
        <v>652395.45082261309</v>
      </c>
      <c r="J186" s="5">
        <v>71820.619177386863</v>
      </c>
    </row>
    <row r="187" spans="1:10" ht="15" thickBot="1">
      <c r="A187" s="3">
        <v>57147.88</v>
      </c>
      <c r="B187" s="3">
        <v>5252</v>
      </c>
      <c r="C187" s="3">
        <v>95.5</v>
      </c>
      <c r="D187">
        <v>0</v>
      </c>
      <c r="H187" s="5">
        <v>160</v>
      </c>
      <c r="I187" s="5">
        <v>562308.13843382872</v>
      </c>
      <c r="J187" s="5">
        <v>58664.891566171311</v>
      </c>
    </row>
    <row r="188" spans="1:10" ht="15" thickBot="1">
      <c r="A188" s="3">
        <v>48031.74</v>
      </c>
      <c r="B188" s="3">
        <v>6516</v>
      </c>
      <c r="C188" s="3">
        <v>99</v>
      </c>
      <c r="D188">
        <v>0</v>
      </c>
      <c r="H188" s="5">
        <v>161</v>
      </c>
      <c r="I188" s="5">
        <v>696111.94986641314</v>
      </c>
      <c r="J188" s="5">
        <v>-45631.889866413083</v>
      </c>
    </row>
    <row r="189" spans="1:10" ht="15" thickBot="1">
      <c r="A189" s="3">
        <v>72784.800000000003</v>
      </c>
      <c r="B189" s="3">
        <v>7932</v>
      </c>
      <c r="C189" s="3">
        <v>74.900000000000006</v>
      </c>
      <c r="D189">
        <v>0</v>
      </c>
      <c r="H189" s="5">
        <v>162</v>
      </c>
      <c r="I189" s="5">
        <v>691508.27288776217</v>
      </c>
      <c r="J189" s="5">
        <v>86790.607112237834</v>
      </c>
    </row>
    <row r="190" spans="1:10" ht="15" thickBot="1">
      <c r="A190" s="3">
        <v>71641.899999999994</v>
      </c>
      <c r="B190" s="3">
        <v>3506</v>
      </c>
      <c r="C190" s="3">
        <v>86.4</v>
      </c>
      <c r="D190">
        <v>0</v>
      </c>
      <c r="H190" s="5">
        <v>163</v>
      </c>
      <c r="I190" s="5">
        <v>682209.59768157569</v>
      </c>
      <c r="J190" s="5">
        <v>-5112.8876815757249</v>
      </c>
    </row>
    <row r="191" spans="1:10" ht="15" thickBot="1">
      <c r="A191" s="3">
        <v>55788.61</v>
      </c>
      <c r="B191" s="3">
        <v>2312</v>
      </c>
      <c r="C191" s="3">
        <v>91.3</v>
      </c>
      <c r="D191">
        <v>0</v>
      </c>
      <c r="H191" s="5">
        <v>164</v>
      </c>
      <c r="I191" s="5">
        <v>690137.04878713866</v>
      </c>
      <c r="J191" s="5">
        <v>1871.5912128613563</v>
      </c>
    </row>
    <row r="192" spans="1:10" ht="15" thickBot="1">
      <c r="A192" s="3">
        <v>37705.879999999997</v>
      </c>
      <c r="B192" s="3">
        <v>1268</v>
      </c>
      <c r="C192" s="3">
        <v>84.1</v>
      </c>
      <c r="D192">
        <v>0</v>
      </c>
      <c r="H192" s="5">
        <v>165</v>
      </c>
      <c r="I192" s="5">
        <v>773568.70761060412</v>
      </c>
      <c r="J192" s="5">
        <v>52229.202389395912</v>
      </c>
    </row>
    <row r="193" spans="1:10" ht="15" thickBot="1">
      <c r="A193" s="3">
        <v>54966.18</v>
      </c>
      <c r="B193" s="3">
        <v>4423</v>
      </c>
      <c r="C193" s="3">
        <v>88.7</v>
      </c>
      <c r="D193">
        <v>0</v>
      </c>
      <c r="H193" s="5">
        <v>166</v>
      </c>
      <c r="I193" s="5">
        <v>721722.82242137811</v>
      </c>
      <c r="J193" s="5">
        <v>-15437.302421378088</v>
      </c>
    </row>
    <row r="194" spans="1:10" ht="15" thickBot="1">
      <c r="A194" s="3">
        <v>81796.740000000005</v>
      </c>
      <c r="B194" s="3">
        <v>6177</v>
      </c>
      <c r="C194" s="3">
        <v>87.9</v>
      </c>
      <c r="D194">
        <v>0</v>
      </c>
      <c r="H194" s="5">
        <v>167</v>
      </c>
      <c r="I194" s="5">
        <v>666269.32314815721</v>
      </c>
      <c r="J194" s="5">
        <v>-734.62314815726131</v>
      </c>
    </row>
    <row r="195" spans="1:10" ht="15" thickBot="1">
      <c r="A195" s="3">
        <v>51133.43</v>
      </c>
      <c r="B195" s="3">
        <v>5150</v>
      </c>
      <c r="C195" s="3">
        <v>88.5</v>
      </c>
      <c r="D195">
        <v>0</v>
      </c>
      <c r="H195" s="5">
        <v>168</v>
      </c>
      <c r="I195" s="5">
        <v>803602.95691665518</v>
      </c>
      <c r="J195" s="5">
        <v>17126.333083344856</v>
      </c>
    </row>
    <row r="196" spans="1:10" ht="15" thickBot="1">
      <c r="A196" s="3">
        <v>40220.18</v>
      </c>
      <c r="B196" s="3">
        <v>3783</v>
      </c>
      <c r="C196" s="3">
        <v>86.6</v>
      </c>
      <c r="D196">
        <v>0</v>
      </c>
      <c r="H196" s="5">
        <v>169</v>
      </c>
      <c r="I196" s="5">
        <v>775851.18034871737</v>
      </c>
      <c r="J196" s="5">
        <v>-36019.450348717393</v>
      </c>
    </row>
    <row r="197" spans="1:10" ht="15" thickBot="1">
      <c r="A197" s="3">
        <v>41657.64</v>
      </c>
      <c r="B197" s="3">
        <v>3135</v>
      </c>
      <c r="C197" s="3">
        <v>85.4</v>
      </c>
      <c r="D197">
        <v>0</v>
      </c>
      <c r="H197" s="5">
        <v>170</v>
      </c>
      <c r="I197" s="5">
        <v>672204.21307698125</v>
      </c>
      <c r="J197" s="5">
        <v>-78567.073076981236</v>
      </c>
    </row>
    <row r="198" spans="1:10" ht="15" thickBot="1">
      <c r="A198" s="3">
        <v>71851.45</v>
      </c>
      <c r="B198" s="3">
        <v>4970</v>
      </c>
      <c r="C198" s="3">
        <v>89.6</v>
      </c>
      <c r="D198">
        <v>0</v>
      </c>
      <c r="H198" s="5">
        <v>171</v>
      </c>
      <c r="I198" s="5">
        <v>741230.80241864594</v>
      </c>
      <c r="J198" s="5">
        <v>28471.957581354072</v>
      </c>
    </row>
    <row r="199" spans="1:10" ht="15" thickBot="1">
      <c r="A199" s="3">
        <v>54002.83</v>
      </c>
      <c r="B199" s="3">
        <v>4366</v>
      </c>
      <c r="C199" s="3">
        <v>90.6</v>
      </c>
      <c r="D199">
        <v>0</v>
      </c>
      <c r="H199" s="5">
        <v>172</v>
      </c>
      <c r="I199" s="5">
        <v>696760.57099761139</v>
      </c>
      <c r="J199" s="5">
        <v>-17029.000997611438</v>
      </c>
    </row>
    <row r="200" spans="1:10" ht="15" thickBot="1">
      <c r="A200" s="3">
        <v>54479.33</v>
      </c>
      <c r="B200" s="3">
        <v>5012</v>
      </c>
      <c r="C200" s="3">
        <v>86</v>
      </c>
      <c r="D200">
        <v>0</v>
      </c>
      <c r="H200" s="5">
        <v>173</v>
      </c>
      <c r="I200" s="5">
        <v>780049.98933172179</v>
      </c>
      <c r="J200" s="5">
        <v>294.19066827825736</v>
      </c>
    </row>
    <row r="201" spans="1:10" ht="15" thickBot="1">
      <c r="A201" s="3">
        <v>61391.8</v>
      </c>
      <c r="B201" s="3">
        <v>5575</v>
      </c>
      <c r="C201" s="3">
        <v>90</v>
      </c>
      <c r="D201">
        <v>0</v>
      </c>
      <c r="H201" s="5">
        <v>174</v>
      </c>
      <c r="I201" s="5">
        <v>763337.2475030435</v>
      </c>
      <c r="J201" s="5">
        <v>-41973.137503043516</v>
      </c>
    </row>
    <row r="202" spans="1:10" ht="15" thickBot="1">
      <c r="A202" s="3">
        <v>22312.93</v>
      </c>
      <c r="B202" s="3">
        <v>5955</v>
      </c>
      <c r="C202" s="3">
        <v>84.2</v>
      </c>
      <c r="D202">
        <v>1</v>
      </c>
      <c r="H202" s="5">
        <v>175</v>
      </c>
      <c r="I202" s="5">
        <v>788556.32241745142</v>
      </c>
      <c r="J202" s="5">
        <v>-30418.032417451381</v>
      </c>
    </row>
    <row r="203" spans="1:10" ht="15" thickBot="1">
      <c r="A203" s="3">
        <v>78111.97</v>
      </c>
      <c r="B203" s="3">
        <v>6389</v>
      </c>
      <c r="C203" s="3">
        <v>83.9</v>
      </c>
      <c r="D203">
        <v>1</v>
      </c>
      <c r="H203" s="5">
        <v>176</v>
      </c>
      <c r="I203" s="5">
        <v>831669.11641883175</v>
      </c>
      <c r="J203" s="5">
        <v>-27405.116418831749</v>
      </c>
    </row>
    <row r="204" spans="1:10" ht="15" thickBot="1">
      <c r="A204" s="3">
        <v>35203.230000000003</v>
      </c>
      <c r="B204" s="3">
        <v>6896</v>
      </c>
      <c r="C204" s="3">
        <v>80.8</v>
      </c>
      <c r="D204">
        <v>1</v>
      </c>
      <c r="H204" s="5">
        <v>177</v>
      </c>
      <c r="I204" s="5">
        <v>876877.56609724485</v>
      </c>
      <c r="J204" s="5">
        <v>10660.183902755147</v>
      </c>
    </row>
    <row r="205" spans="1:10" ht="15" thickBot="1">
      <c r="A205" s="3">
        <v>64104.28</v>
      </c>
      <c r="B205" s="3">
        <v>6015</v>
      </c>
      <c r="C205" s="3">
        <v>88.7</v>
      </c>
      <c r="D205">
        <v>1</v>
      </c>
      <c r="H205" s="5">
        <v>178</v>
      </c>
      <c r="I205" s="5">
        <v>725679.39301134145</v>
      </c>
      <c r="J205" s="5">
        <v>57902.606988658546</v>
      </c>
    </row>
    <row r="206" spans="1:10" ht="15" thickBot="1">
      <c r="A206" s="3">
        <v>92090.14</v>
      </c>
      <c r="B206" s="3">
        <v>9476</v>
      </c>
      <c r="C206" s="3">
        <v>94.3</v>
      </c>
      <c r="D206">
        <v>0</v>
      </c>
      <c r="H206" s="5">
        <v>179</v>
      </c>
      <c r="I206" s="5">
        <v>757737.20185637043</v>
      </c>
      <c r="J206" s="5">
        <v>24218.318143629585</v>
      </c>
    </row>
    <row r="207" spans="1:10" ht="15" thickBot="1">
      <c r="A207" s="3">
        <v>54300.87</v>
      </c>
      <c r="B207" s="3">
        <v>7875</v>
      </c>
      <c r="C207" s="3">
        <v>94.1</v>
      </c>
      <c r="D207">
        <v>0</v>
      </c>
      <c r="H207" s="5">
        <v>180</v>
      </c>
      <c r="I207" s="5">
        <v>844992.42913279484</v>
      </c>
      <c r="J207" s="5">
        <v>53038.610867205192</v>
      </c>
    </row>
    <row r="208" spans="1:10" ht="15" thickBot="1">
      <c r="A208" s="3">
        <v>37983.35</v>
      </c>
      <c r="B208" s="3">
        <v>9283</v>
      </c>
      <c r="C208" s="3">
        <v>83.2</v>
      </c>
      <c r="D208">
        <v>0</v>
      </c>
      <c r="H208" s="5">
        <v>181</v>
      </c>
      <c r="I208" s="5">
        <v>849943.50081776315</v>
      </c>
      <c r="J208" s="5">
        <v>5397.7791822368745</v>
      </c>
    </row>
    <row r="209" spans="1:10" ht="15" thickBot="1">
      <c r="A209" s="3">
        <v>56413.83</v>
      </c>
      <c r="B209" s="3">
        <v>8303</v>
      </c>
      <c r="C209" s="3">
        <v>93.6</v>
      </c>
      <c r="D209">
        <v>0</v>
      </c>
      <c r="H209" s="5">
        <v>182</v>
      </c>
      <c r="I209" s="5">
        <v>750989.72237407253</v>
      </c>
      <c r="J209" s="5">
        <v>404.15762592747342</v>
      </c>
    </row>
    <row r="210" spans="1:10" ht="15" thickBot="1">
      <c r="A210" s="3">
        <v>63457.19</v>
      </c>
      <c r="B210" s="3">
        <v>10125</v>
      </c>
      <c r="C210" s="3">
        <v>87</v>
      </c>
      <c r="D210">
        <v>0</v>
      </c>
      <c r="H210" s="5">
        <v>183</v>
      </c>
      <c r="I210" s="5">
        <v>761075.92791925161</v>
      </c>
      <c r="J210" s="5">
        <v>1.1520807483466342</v>
      </c>
    </row>
    <row r="211" spans="1:10" ht="15" thickBot="1">
      <c r="A211" s="3">
        <v>62949.7</v>
      </c>
      <c r="B211" s="3">
        <v>9458</v>
      </c>
      <c r="C211" s="3">
        <v>84.9</v>
      </c>
      <c r="D211">
        <v>0</v>
      </c>
      <c r="H211" s="5">
        <v>184</v>
      </c>
      <c r="I211" s="5">
        <v>825745.42984135915</v>
      </c>
      <c r="J211" s="5">
        <v>-6084.8398413591785</v>
      </c>
    </row>
    <row r="212" spans="1:10" ht="15" thickBot="1">
      <c r="A212" s="3">
        <v>107970.19</v>
      </c>
      <c r="B212" s="3">
        <v>12870</v>
      </c>
      <c r="C212" s="3">
        <v>91.7</v>
      </c>
      <c r="D212">
        <v>0</v>
      </c>
      <c r="H212" s="5">
        <v>185</v>
      </c>
      <c r="I212" s="5">
        <v>696791.18140940717</v>
      </c>
      <c r="J212" s="5">
        <v>-14935.621409407118</v>
      </c>
    </row>
    <row r="213" spans="1:10" ht="15" thickBot="1">
      <c r="A213" s="3">
        <v>49405.75</v>
      </c>
      <c r="B213" s="3">
        <v>9752</v>
      </c>
      <c r="C213" s="3">
        <v>87</v>
      </c>
      <c r="D213">
        <v>0</v>
      </c>
      <c r="H213" s="5">
        <v>186</v>
      </c>
      <c r="I213" s="5">
        <v>656798.29836009874</v>
      </c>
      <c r="J213" s="5">
        <v>21512.871639901306</v>
      </c>
    </row>
    <row r="214" spans="1:10" ht="15" thickBot="1">
      <c r="A214" s="3">
        <v>50887.46</v>
      </c>
      <c r="B214" s="3">
        <v>9505</v>
      </c>
      <c r="C214" s="3">
        <v>89.7</v>
      </c>
      <c r="D214">
        <v>0</v>
      </c>
      <c r="H214" s="5">
        <v>187</v>
      </c>
      <c r="I214" s="5">
        <v>698821.80213888141</v>
      </c>
      <c r="J214" s="5">
        <v>67085.147861118545</v>
      </c>
    </row>
    <row r="215" spans="1:10" ht="15" thickBot="1">
      <c r="A215" s="3">
        <v>41819.449999999997</v>
      </c>
      <c r="B215" s="3">
        <v>9412</v>
      </c>
      <c r="C215" s="3">
        <v>91</v>
      </c>
      <c r="D215">
        <v>0</v>
      </c>
      <c r="H215" s="5">
        <v>188</v>
      </c>
      <c r="I215" s="5">
        <v>703925.96274309827</v>
      </c>
      <c r="J215" s="5">
        <v>8620.4172569017392</v>
      </c>
    </row>
    <row r="216" spans="1:10" ht="15" thickBot="1">
      <c r="A216" s="3">
        <v>35296.54</v>
      </c>
      <c r="B216" s="3">
        <v>9644</v>
      </c>
      <c r="C216" s="3">
        <v>88</v>
      </c>
      <c r="D216">
        <v>0</v>
      </c>
      <c r="H216" s="5">
        <v>189</v>
      </c>
      <c r="I216" s="5">
        <v>588327.73568497086</v>
      </c>
      <c r="J216" s="5">
        <v>37666.094315029099</v>
      </c>
    </row>
    <row r="217" spans="1:10" ht="15" thickBot="1">
      <c r="A217" s="3">
        <v>47391.09</v>
      </c>
      <c r="B217" s="3">
        <v>11224</v>
      </c>
      <c r="C217" s="3">
        <v>88.4</v>
      </c>
      <c r="D217">
        <v>0</v>
      </c>
      <c r="H217" s="5">
        <v>190</v>
      </c>
      <c r="I217" s="5">
        <v>544152.70437519625</v>
      </c>
      <c r="J217" s="5">
        <v>6810.2256248038029</v>
      </c>
    </row>
    <row r="218" spans="1:10" ht="15" thickBot="1">
      <c r="A218" s="3">
        <v>69180.539999999994</v>
      </c>
      <c r="B218" s="3">
        <v>5394</v>
      </c>
      <c r="C218" s="3">
        <v>82.9</v>
      </c>
      <c r="D218">
        <v>1</v>
      </c>
      <c r="H218" s="5">
        <v>191</v>
      </c>
      <c r="I218" s="5">
        <v>466452.10227387352</v>
      </c>
      <c r="J218" s="5">
        <v>-23176.512273873494</v>
      </c>
    </row>
    <row r="219" spans="1:10" ht="15" thickBot="1">
      <c r="A219" s="3">
        <v>33987.33</v>
      </c>
      <c r="B219" s="3">
        <v>5014</v>
      </c>
      <c r="C219" s="3">
        <v>94.3</v>
      </c>
      <c r="D219">
        <v>1</v>
      </c>
      <c r="H219" s="5">
        <v>192</v>
      </c>
      <c r="I219" s="5">
        <v>606241.26550490712</v>
      </c>
      <c r="J219" s="5">
        <v>-52229.195504907169</v>
      </c>
    </row>
    <row r="220" spans="1:10" ht="15" thickBot="1">
      <c r="A220" s="3">
        <v>58785.33</v>
      </c>
      <c r="B220" s="3">
        <v>4467</v>
      </c>
      <c r="C220" s="3">
        <v>90.7</v>
      </c>
      <c r="D220">
        <v>1</v>
      </c>
      <c r="H220" s="5">
        <v>193</v>
      </c>
      <c r="I220" s="5">
        <v>694307.66317977442</v>
      </c>
      <c r="J220" s="5">
        <v>-50878.813179774443</v>
      </c>
    </row>
    <row r="221" spans="1:10" ht="15" thickBot="1">
      <c r="A221" s="3">
        <v>16451.849999999999</v>
      </c>
      <c r="B221" s="3">
        <v>4678</v>
      </c>
      <c r="C221" s="3">
        <v>95.9</v>
      </c>
      <c r="D221">
        <v>1</v>
      </c>
      <c r="H221" s="5">
        <v>194</v>
      </c>
      <c r="I221" s="5">
        <v>625503.57432104414</v>
      </c>
      <c r="J221" s="5">
        <v>-13579.304321044125</v>
      </c>
    </row>
    <row r="222" spans="1:10" ht="15" thickBot="1">
      <c r="A222" s="3">
        <v>53367.73</v>
      </c>
      <c r="B222" s="3">
        <v>7291</v>
      </c>
      <c r="C222" s="3">
        <v>90.6</v>
      </c>
      <c r="D222">
        <v>0</v>
      </c>
      <c r="H222" s="5">
        <v>195</v>
      </c>
      <c r="I222" s="5">
        <v>561162.52825988492</v>
      </c>
      <c r="J222" s="5">
        <v>-1740.5082598848967</v>
      </c>
    </row>
    <row r="223" spans="1:10" ht="15" thickBot="1">
      <c r="A223" s="3">
        <v>27194.639999999999</v>
      </c>
      <c r="B223" s="3">
        <v>7404</v>
      </c>
      <c r="C223" s="3">
        <v>90.2</v>
      </c>
      <c r="D223">
        <v>0</v>
      </c>
      <c r="H223" s="5">
        <v>196</v>
      </c>
      <c r="I223" s="5">
        <v>537568.12774520181</v>
      </c>
      <c r="J223" s="5">
        <v>-88103.067745201814</v>
      </c>
    </row>
    <row r="224" spans="1:10" ht="15" thickBot="1">
      <c r="A224" s="3">
        <v>66962.740000000005</v>
      </c>
      <c r="B224" s="3">
        <v>7880</v>
      </c>
      <c r="C224" s="3">
        <v>90.4</v>
      </c>
      <c r="D224">
        <v>0</v>
      </c>
      <c r="H224" s="5">
        <v>197</v>
      </c>
      <c r="I224" s="5">
        <v>647161.15675657254</v>
      </c>
      <c r="J224" s="5">
        <v>44286.273243427509</v>
      </c>
    </row>
    <row r="225" spans="1:10" ht="15" thickBot="1">
      <c r="A225" s="3">
        <v>73540.990000000005</v>
      </c>
      <c r="B225" s="3">
        <v>8773</v>
      </c>
      <c r="C225" s="3">
        <v>84.4</v>
      </c>
      <c r="D225">
        <v>0</v>
      </c>
      <c r="H225" s="5">
        <v>198</v>
      </c>
      <c r="I225" s="5">
        <v>608835.68397874117</v>
      </c>
      <c r="J225" s="5">
        <v>-34769.073978741188</v>
      </c>
    </row>
    <row r="226" spans="1:10" ht="15" thickBot="1">
      <c r="A226" s="3">
        <v>68212.289999999994</v>
      </c>
      <c r="B226" s="3">
        <v>4713</v>
      </c>
      <c r="C226" s="3">
        <v>82.6</v>
      </c>
      <c r="D226">
        <v>0</v>
      </c>
      <c r="H226" s="5">
        <v>199</v>
      </c>
      <c r="I226" s="5">
        <v>617398.73568252381</v>
      </c>
      <c r="J226" s="5">
        <v>-38448.895682523842</v>
      </c>
    </row>
    <row r="227" spans="1:10" ht="15" thickBot="1">
      <c r="A227" s="3">
        <v>57225.98</v>
      </c>
      <c r="B227" s="3">
        <v>2842</v>
      </c>
      <c r="C227" s="3">
        <v>79.5</v>
      </c>
      <c r="D227">
        <v>0</v>
      </c>
      <c r="H227" s="5">
        <v>200</v>
      </c>
      <c r="I227" s="5">
        <v>656301.36076175503</v>
      </c>
      <c r="J227" s="5">
        <v>79485.279238244984</v>
      </c>
    </row>
    <row r="228" spans="1:10" ht="15" thickBot="1">
      <c r="A228" s="3">
        <v>42932.02</v>
      </c>
      <c r="B228" s="3">
        <v>3872</v>
      </c>
      <c r="C228" s="3">
        <v>83.2</v>
      </c>
      <c r="D228">
        <v>0</v>
      </c>
      <c r="H228" s="5">
        <v>201</v>
      </c>
      <c r="I228" s="5">
        <v>631392.80557039718</v>
      </c>
      <c r="J228" s="5">
        <v>-32487.905570397153</v>
      </c>
    </row>
    <row r="229" spans="1:10" ht="15" thickBot="1">
      <c r="A229" s="3">
        <v>39341.449999999997</v>
      </c>
      <c r="B229" s="3">
        <v>1375</v>
      </c>
      <c r="C229" s="3">
        <v>95</v>
      </c>
      <c r="D229">
        <v>0</v>
      </c>
      <c r="H229" s="5">
        <v>202</v>
      </c>
      <c r="I229" s="5">
        <v>710840.56061547238</v>
      </c>
      <c r="J229" s="5">
        <v>76874.94938452763</v>
      </c>
    </row>
    <row r="230" spans="1:10" ht="15" thickBot="1">
      <c r="A230" s="3">
        <v>37324.230000000003</v>
      </c>
      <c r="B230" s="3">
        <v>5957</v>
      </c>
      <c r="C230" s="3">
        <v>85.9</v>
      </c>
      <c r="D230">
        <v>0</v>
      </c>
      <c r="H230" s="5">
        <v>203</v>
      </c>
      <c r="I230" s="5">
        <v>668045.51140930632</v>
      </c>
      <c r="J230" s="5">
        <v>-60960.591409306275</v>
      </c>
    </row>
    <row r="231" spans="1:10" ht="15" thickBot="1">
      <c r="A231" s="3">
        <v>113736</v>
      </c>
      <c r="B231" s="3">
        <v>8961</v>
      </c>
      <c r="C231" s="3">
        <v>86.2</v>
      </c>
      <c r="D231">
        <v>0</v>
      </c>
      <c r="H231" s="5">
        <v>204</v>
      </c>
      <c r="I231" s="5">
        <v>696037.66235016275</v>
      </c>
      <c r="J231" s="5">
        <v>-45242.172350162757</v>
      </c>
    </row>
    <row r="232" spans="1:10" ht="15" thickBot="1">
      <c r="A232" s="3">
        <v>33173.949999999997</v>
      </c>
      <c r="B232" s="3">
        <v>6545</v>
      </c>
      <c r="C232" s="3">
        <v>84.4</v>
      </c>
      <c r="D232">
        <v>0</v>
      </c>
      <c r="H232" s="5">
        <v>205</v>
      </c>
      <c r="I232" s="5">
        <v>836055.28191786469</v>
      </c>
      <c r="J232" s="5">
        <v>-10994.761917864671</v>
      </c>
    </row>
    <row r="233" spans="1:10" ht="15" thickBot="1">
      <c r="A233" s="3">
        <v>25818.080000000002</v>
      </c>
      <c r="B233" s="3">
        <v>5457</v>
      </c>
      <c r="C233" s="3">
        <v>95.4</v>
      </c>
      <c r="D233">
        <v>0</v>
      </c>
      <c r="H233" s="5">
        <v>206</v>
      </c>
      <c r="I233" s="5">
        <v>737229.21624303912</v>
      </c>
      <c r="J233" s="5">
        <v>58235.253756960854</v>
      </c>
    </row>
    <row r="234" spans="1:10" ht="15" thickBot="1">
      <c r="A234" s="3">
        <v>47241.919999999998</v>
      </c>
      <c r="B234" s="3">
        <v>4264</v>
      </c>
      <c r="C234" s="3">
        <v>95.3</v>
      </c>
      <c r="D234">
        <v>0</v>
      </c>
      <c r="H234" s="5">
        <v>207</v>
      </c>
      <c r="I234" s="5">
        <v>732835.0834612461</v>
      </c>
      <c r="J234" s="5">
        <v>-60966.493461246137</v>
      </c>
    </row>
    <row r="235" spans="1:10" ht="15" thickBot="1">
      <c r="A235" s="3">
        <v>61650.79</v>
      </c>
      <c r="B235" s="3">
        <v>5321</v>
      </c>
      <c r="C235" s="3">
        <v>89.2</v>
      </c>
      <c r="D235">
        <v>0</v>
      </c>
      <c r="H235" s="5">
        <v>208</v>
      </c>
      <c r="I235" s="5">
        <v>752585.89127820393</v>
      </c>
      <c r="J235" s="5">
        <v>-76668.261278203921</v>
      </c>
    </row>
    <row r="236" spans="1:10" ht="15" thickBot="1">
      <c r="A236" s="3">
        <v>62582.71</v>
      </c>
      <c r="B236" s="3">
        <v>5479</v>
      </c>
      <c r="C236" s="3">
        <v>81.2</v>
      </c>
      <c r="D236">
        <v>0</v>
      </c>
      <c r="H236" s="5">
        <v>209</v>
      </c>
      <c r="I236" s="5">
        <v>802382.16142784792</v>
      </c>
      <c r="J236" s="5">
        <v>8064.3685721521033</v>
      </c>
    </row>
    <row r="237" spans="1:10" ht="15" thickBot="1">
      <c r="A237" s="3">
        <v>47944.14</v>
      </c>
      <c r="B237" s="3">
        <v>6169</v>
      </c>
      <c r="C237" s="3">
        <v>92.2</v>
      </c>
      <c r="D237">
        <v>0</v>
      </c>
      <c r="H237" s="5">
        <v>210</v>
      </c>
      <c r="I237" s="5">
        <v>773185.42076321354</v>
      </c>
      <c r="J237" s="5">
        <v>-81897.230763213593</v>
      </c>
    </row>
    <row r="238" spans="1:10" ht="15" thickBot="1">
      <c r="A238" s="3">
        <v>46495.4</v>
      </c>
      <c r="B238" s="3">
        <v>9908</v>
      </c>
      <c r="C238" s="3">
        <v>89.4</v>
      </c>
      <c r="D238">
        <v>0</v>
      </c>
      <c r="H238" s="5">
        <v>211</v>
      </c>
      <c r="I238" s="5">
        <v>960852.73335105297</v>
      </c>
      <c r="J238" s="5">
        <v>-14019.193351052934</v>
      </c>
    </row>
    <row r="239" spans="1:10" ht="15" thickBot="1">
      <c r="A239" s="3">
        <v>72961.95</v>
      </c>
      <c r="B239" s="3">
        <v>9996</v>
      </c>
      <c r="C239" s="3">
        <v>89.1</v>
      </c>
      <c r="D239">
        <v>0</v>
      </c>
      <c r="H239" s="5">
        <v>212</v>
      </c>
      <c r="I239" s="5">
        <v>773309.46491990192</v>
      </c>
      <c r="J239" s="5">
        <v>-11346.234919901937</v>
      </c>
    </row>
    <row r="240" spans="1:10" ht="15" thickBot="1">
      <c r="A240" s="3">
        <v>59060.05</v>
      </c>
      <c r="B240" s="3">
        <v>9702</v>
      </c>
      <c r="C240" s="3">
        <v>80.900000000000006</v>
      </c>
      <c r="D240">
        <v>0</v>
      </c>
      <c r="H240" s="5">
        <v>213</v>
      </c>
      <c r="I240" s="5">
        <v>774791.56240358413</v>
      </c>
      <c r="J240" s="5">
        <v>37361.037596415845</v>
      </c>
    </row>
    <row r="241" spans="1:10" ht="15" thickBot="1">
      <c r="A241" s="3">
        <v>26248.1</v>
      </c>
      <c r="B241" s="3">
        <v>9314</v>
      </c>
      <c r="C241" s="3">
        <v>83.7</v>
      </c>
      <c r="D241">
        <v>0</v>
      </c>
      <c r="H241" s="5">
        <v>214</v>
      </c>
      <c r="I241" s="5">
        <v>764842.07534824079</v>
      </c>
      <c r="J241" s="5">
        <v>40133.424651759211</v>
      </c>
    </row>
    <row r="242" spans="1:10" ht="15" thickBot="1">
      <c r="A242" s="3">
        <v>69900.12</v>
      </c>
      <c r="B242" s="3">
        <v>8055</v>
      </c>
      <c r="C242" s="3">
        <v>85.6</v>
      </c>
      <c r="D242">
        <v>1</v>
      </c>
      <c r="H242" s="5">
        <v>215</v>
      </c>
      <c r="I242" s="5">
        <v>756022.72810464667</v>
      </c>
      <c r="J242" s="5">
        <v>-3701.0081046466948</v>
      </c>
    </row>
    <row r="243" spans="1:10" ht="15" thickBot="1">
      <c r="A243" s="3">
        <v>51781.599999999999</v>
      </c>
      <c r="B243" s="3">
        <v>5648</v>
      </c>
      <c r="C243" s="3">
        <v>85.5</v>
      </c>
      <c r="D243">
        <v>1</v>
      </c>
      <c r="H243" s="5">
        <v>216</v>
      </c>
      <c r="I243" s="5">
        <v>824444.3548690757</v>
      </c>
      <c r="J243" s="5">
        <v>12463.885130924289</v>
      </c>
    </row>
    <row r="244" spans="1:10" ht="15" thickBot="1">
      <c r="A244" s="3">
        <v>70799.64</v>
      </c>
      <c r="B244" s="3">
        <v>10076</v>
      </c>
      <c r="C244" s="3">
        <v>84.8</v>
      </c>
      <c r="D244">
        <v>1</v>
      </c>
      <c r="H244" s="5">
        <v>217</v>
      </c>
      <c r="I244" s="5">
        <v>663980.75812845922</v>
      </c>
      <c r="J244" s="5">
        <v>10308.341871540761</v>
      </c>
    </row>
    <row r="245" spans="1:10" ht="15" thickBot="1">
      <c r="A245" s="3">
        <v>53546.34</v>
      </c>
      <c r="B245" s="3">
        <v>8004</v>
      </c>
      <c r="C245" s="3">
        <v>95.2</v>
      </c>
      <c r="D245">
        <v>1</v>
      </c>
      <c r="H245" s="5">
        <v>218</v>
      </c>
      <c r="I245" s="5">
        <v>643595.0332953271</v>
      </c>
      <c r="J245" s="5">
        <v>-20702.613295327057</v>
      </c>
    </row>
    <row r="246" spans="1:10" ht="15" thickBot="1">
      <c r="A246" s="3">
        <v>76942.2</v>
      </c>
      <c r="B246" s="3">
        <v>8934</v>
      </c>
      <c r="C246" s="3">
        <v>91</v>
      </c>
      <c r="D246">
        <v>0</v>
      </c>
      <c r="H246" s="5">
        <v>219</v>
      </c>
      <c r="I246" s="5">
        <v>643803.26622237754</v>
      </c>
      <c r="J246" s="5">
        <v>29545.293777622515</v>
      </c>
    </row>
    <row r="247" spans="1:10" ht="15" thickBot="1">
      <c r="A247" s="3">
        <v>48060.78</v>
      </c>
      <c r="B247" s="3">
        <v>8733</v>
      </c>
      <c r="C247" s="3">
        <v>89.9</v>
      </c>
      <c r="D247">
        <v>0</v>
      </c>
      <c r="H247" s="5">
        <v>220</v>
      </c>
      <c r="I247" s="5">
        <v>616405.7634899324</v>
      </c>
      <c r="J247" s="5">
        <v>-10127.463489932357</v>
      </c>
    </row>
    <row r="248" spans="1:10" ht="15" thickBot="1">
      <c r="A248" s="3">
        <v>57390.04</v>
      </c>
      <c r="B248" s="3">
        <v>7374</v>
      </c>
      <c r="C248" s="3">
        <v>91.8</v>
      </c>
      <c r="D248">
        <v>0</v>
      </c>
      <c r="H248" s="5">
        <v>221</v>
      </c>
      <c r="I248" s="5">
        <v>706156.70934418205</v>
      </c>
      <c r="J248" s="5">
        <v>6063.1006558180088</v>
      </c>
    </row>
    <row r="249" spans="1:10" ht="15" thickBot="1">
      <c r="A249" s="3">
        <v>21536.18</v>
      </c>
      <c r="B249" s="3">
        <v>8119</v>
      </c>
      <c r="C249" s="3">
        <v>90.4</v>
      </c>
      <c r="D249">
        <v>0</v>
      </c>
      <c r="H249" s="5">
        <v>222</v>
      </c>
      <c r="I249" s="5">
        <v>677899.57311110105</v>
      </c>
      <c r="J249" s="5">
        <v>-5229.0331111010164</v>
      </c>
    </row>
    <row r="250" spans="1:10" ht="15" thickBot="1">
      <c r="A250" s="3">
        <v>40923.67</v>
      </c>
      <c r="B250" s="3">
        <v>3875</v>
      </c>
      <c r="C250" s="3">
        <v>96.1</v>
      </c>
      <c r="D250">
        <v>0</v>
      </c>
      <c r="H250" s="5">
        <v>223</v>
      </c>
      <c r="I250" s="5">
        <v>741339.5287971606</v>
      </c>
      <c r="J250" s="5">
        <v>-8671.6087971605593</v>
      </c>
    </row>
    <row r="251" spans="1:10" ht="15" thickBot="1">
      <c r="A251" s="3">
        <v>72932.55</v>
      </c>
      <c r="B251" s="3">
        <v>5765</v>
      </c>
      <c r="C251" s="3">
        <v>81.8</v>
      </c>
      <c r="D251">
        <v>0</v>
      </c>
      <c r="H251" s="5">
        <v>224</v>
      </c>
      <c r="I251" s="5">
        <v>761221.2582242518</v>
      </c>
      <c r="J251" s="5">
        <v>-37689.858224251773</v>
      </c>
    </row>
    <row r="252" spans="1:10" ht="15" thickBot="1">
      <c r="A252" s="3">
        <v>38361.93</v>
      </c>
      <c r="B252" s="3">
        <v>6322</v>
      </c>
      <c r="C252" s="3">
        <v>88.4</v>
      </c>
      <c r="D252">
        <v>0</v>
      </c>
      <c r="H252" s="5">
        <v>225</v>
      </c>
      <c r="I252" s="5">
        <v>613470.04672250233</v>
      </c>
      <c r="J252" s="5">
        <v>28094.553277497645</v>
      </c>
    </row>
    <row r="253" spans="1:10" ht="15" thickBot="1">
      <c r="A253" s="3">
        <v>97480.94</v>
      </c>
      <c r="B253" s="3">
        <v>6840</v>
      </c>
      <c r="C253" s="3">
        <v>79.2</v>
      </c>
      <c r="D253">
        <v>0</v>
      </c>
      <c r="H253" s="5">
        <v>226</v>
      </c>
      <c r="I253" s="5">
        <v>528581.74365125771</v>
      </c>
      <c r="J253" s="5">
        <v>7963.7463487422792</v>
      </c>
    </row>
    <row r="254" spans="1:10" ht="15" thickBot="1">
      <c r="A254" s="3">
        <v>81801.8</v>
      </c>
      <c r="B254" s="3">
        <v>6782</v>
      </c>
      <c r="C254" s="3">
        <v>99</v>
      </c>
      <c r="D254">
        <v>1</v>
      </c>
      <c r="H254" s="5">
        <v>227</v>
      </c>
      <c r="I254" s="5">
        <v>557248.8162036771</v>
      </c>
      <c r="J254" s="5">
        <v>-29567.25620367704</v>
      </c>
    </row>
    <row r="255" spans="1:10" ht="15" thickBot="1">
      <c r="A255" s="3">
        <v>63582.11</v>
      </c>
      <c r="B255" s="3">
        <v>6856</v>
      </c>
      <c r="C255" s="3">
        <v>89.5</v>
      </c>
      <c r="D255">
        <v>1</v>
      </c>
      <c r="H255" s="5">
        <v>228</v>
      </c>
      <c r="I255" s="5">
        <v>504331.29395856231</v>
      </c>
      <c r="J255" s="5">
        <v>25267.646041437634</v>
      </c>
    </row>
    <row r="256" spans="1:10" ht="15" thickBot="1">
      <c r="A256" s="3">
        <v>75412.740000000005</v>
      </c>
      <c r="B256" s="3">
        <v>5641</v>
      </c>
      <c r="C256" s="3">
        <v>87.9</v>
      </c>
      <c r="D256">
        <v>1</v>
      </c>
      <c r="H256" s="5">
        <v>229</v>
      </c>
      <c r="I256" s="5">
        <v>628559.99014122633</v>
      </c>
      <c r="J256" s="5">
        <v>-57596.680141226272</v>
      </c>
    </row>
    <row r="257" spans="1:10" ht="15" thickBot="1">
      <c r="A257" s="3">
        <v>36290.080000000002</v>
      </c>
      <c r="B257" s="3">
        <v>5787</v>
      </c>
      <c r="C257" s="3">
        <v>88.3</v>
      </c>
      <c r="D257">
        <v>1</v>
      </c>
      <c r="H257" s="5">
        <v>230</v>
      </c>
      <c r="I257" s="5">
        <v>820259.0196168992</v>
      </c>
      <c r="J257" s="5">
        <v>50678.380383100826</v>
      </c>
    </row>
    <row r="258" spans="1:10" ht="15" thickBot="1">
      <c r="A258" s="3">
        <v>65272.58</v>
      </c>
      <c r="B258" s="3">
        <v>8165</v>
      </c>
      <c r="C258" s="3">
        <v>87.8</v>
      </c>
      <c r="D258">
        <v>0</v>
      </c>
      <c r="H258" s="5">
        <v>231</v>
      </c>
      <c r="I258" s="5">
        <v>638927.67079375184</v>
      </c>
      <c r="J258" s="5">
        <v>-41958.400793751818</v>
      </c>
    </row>
    <row r="259" spans="1:10" ht="15" thickBot="1">
      <c r="A259" s="3">
        <v>28670.43</v>
      </c>
      <c r="B259" s="3">
        <v>7574</v>
      </c>
      <c r="C259" s="3">
        <v>82.7</v>
      </c>
      <c r="D259">
        <v>0</v>
      </c>
      <c r="H259" s="5">
        <v>232</v>
      </c>
      <c r="I259" s="5">
        <v>626436.70478917705</v>
      </c>
      <c r="J259" s="5">
        <v>21076.145210822928</v>
      </c>
    </row>
    <row r="260" spans="1:10" ht="15" thickBot="1">
      <c r="A260" s="3">
        <v>44189.34</v>
      </c>
      <c r="B260" s="3">
        <v>8634</v>
      </c>
      <c r="C260" s="3">
        <v>87.5</v>
      </c>
      <c r="D260">
        <v>0</v>
      </c>
      <c r="H260" s="5">
        <v>233</v>
      </c>
      <c r="I260" s="5">
        <v>611399.50918109203</v>
      </c>
      <c r="J260" s="5">
        <v>46672.630818907986</v>
      </c>
    </row>
    <row r="261" spans="1:10" ht="15" thickBot="1">
      <c r="A261" s="3">
        <v>38397.82</v>
      </c>
      <c r="B261" s="3">
        <v>7836</v>
      </c>
      <c r="C261" s="3">
        <v>92.2</v>
      </c>
      <c r="D261">
        <v>0</v>
      </c>
      <c r="H261" s="5">
        <v>234</v>
      </c>
      <c r="I261" s="5">
        <v>645715.2724505493</v>
      </c>
      <c r="J261" s="5">
        <v>77589.837549450691</v>
      </c>
    </row>
    <row r="262" spans="1:10" ht="15" thickBot="1">
      <c r="A262" s="3">
        <v>14519.37</v>
      </c>
      <c r="B262" s="3">
        <v>3047</v>
      </c>
      <c r="C262" s="3">
        <v>90.3</v>
      </c>
      <c r="D262">
        <v>0</v>
      </c>
      <c r="H262" s="5">
        <v>235</v>
      </c>
      <c r="I262" s="5">
        <v>628358.54750272387</v>
      </c>
      <c r="J262" s="5">
        <v>12307.982497276156</v>
      </c>
    </row>
    <row r="263" spans="1:10" ht="15" thickBot="1">
      <c r="A263" s="3">
        <v>43288.2</v>
      </c>
      <c r="B263" s="3">
        <v>4783</v>
      </c>
      <c r="C263" s="3">
        <v>87.3</v>
      </c>
      <c r="D263">
        <v>0</v>
      </c>
      <c r="H263" s="5">
        <v>236</v>
      </c>
      <c r="I263" s="5">
        <v>666894.28465716378</v>
      </c>
      <c r="J263" s="5">
        <v>3735.1953428362031</v>
      </c>
    </row>
    <row r="264" spans="1:10" ht="15" thickBot="1">
      <c r="A264" s="3">
        <v>51450.55</v>
      </c>
      <c r="B264" s="3">
        <v>4902</v>
      </c>
      <c r="C264" s="3">
        <v>83.7</v>
      </c>
      <c r="D264">
        <v>0</v>
      </c>
      <c r="H264" s="5">
        <v>237</v>
      </c>
      <c r="I264" s="5">
        <v>782234.41380557558</v>
      </c>
      <c r="J264" s="5">
        <v>-61155.063805575599</v>
      </c>
    </row>
    <row r="265" spans="1:10" ht="15" thickBot="1">
      <c r="A265" s="3">
        <v>58688.26</v>
      </c>
      <c r="B265" s="3">
        <v>4022</v>
      </c>
      <c r="C265" s="3">
        <v>93.8</v>
      </c>
      <c r="D265">
        <v>0</v>
      </c>
      <c r="H265" s="5">
        <v>238</v>
      </c>
      <c r="I265" s="5">
        <v>815498.31721575116</v>
      </c>
      <c r="J265" s="5">
        <v>-5143.2972157511394</v>
      </c>
    </row>
    <row r="266" spans="1:10" ht="15" thickBot="1">
      <c r="A266" s="3">
        <v>58981.91</v>
      </c>
      <c r="B266" s="3">
        <v>7324</v>
      </c>
      <c r="C266" s="3">
        <v>95.8</v>
      </c>
      <c r="D266">
        <v>0</v>
      </c>
      <c r="H266" s="5">
        <v>239</v>
      </c>
      <c r="I266" s="5">
        <v>764903.92102560145</v>
      </c>
      <c r="J266" s="5">
        <v>-2984.6710256014485</v>
      </c>
    </row>
    <row r="267" spans="1:10" ht="15" thickBot="1">
      <c r="A267" s="3">
        <v>73454.539999999994</v>
      </c>
      <c r="B267" s="3">
        <v>8129</v>
      </c>
      <c r="C267" s="3">
        <v>85.2</v>
      </c>
      <c r="D267">
        <v>0</v>
      </c>
      <c r="H267" s="5">
        <v>240</v>
      </c>
      <c r="I267" s="5">
        <v>721523.10908220569</v>
      </c>
      <c r="J267" s="5">
        <v>15547.070917794365</v>
      </c>
    </row>
    <row r="268" spans="1:10" ht="15" thickBot="1">
      <c r="A268" s="3">
        <v>56602.39</v>
      </c>
      <c r="B268" s="3">
        <v>7969</v>
      </c>
      <c r="C268" s="3">
        <v>88.3</v>
      </c>
      <c r="D268">
        <v>0</v>
      </c>
      <c r="H268" s="5">
        <v>241</v>
      </c>
      <c r="I268" s="5">
        <v>762064.13374743192</v>
      </c>
      <c r="J268" s="5">
        <v>14928.796252568136</v>
      </c>
    </row>
    <row r="269" spans="1:10" ht="15" thickBot="1">
      <c r="A269" s="3">
        <v>67722.289999999994</v>
      </c>
      <c r="B269" s="3">
        <v>7240</v>
      </c>
      <c r="C269" s="3">
        <v>92.9</v>
      </c>
      <c r="D269">
        <v>0</v>
      </c>
      <c r="H269" s="5">
        <v>242</v>
      </c>
      <c r="I269" s="5">
        <v>659703.18585603649</v>
      </c>
      <c r="J269" s="5">
        <v>16634.22414396354</v>
      </c>
    </row>
    <row r="270" spans="1:10" ht="15" thickBot="1">
      <c r="A270" s="3">
        <v>48752.92</v>
      </c>
      <c r="B270" s="3">
        <v>8052</v>
      </c>
      <c r="C270" s="3">
        <v>94.9</v>
      </c>
      <c r="D270">
        <v>0</v>
      </c>
      <c r="H270" s="5">
        <v>243</v>
      </c>
      <c r="I270" s="5">
        <v>828509.75207539171</v>
      </c>
      <c r="J270" s="5">
        <v>-290.08207539166324</v>
      </c>
    </row>
    <row r="271" spans="1:10" ht="15" thickBot="1">
      <c r="A271" s="3">
        <v>23914.97</v>
      </c>
      <c r="B271" s="3">
        <v>8018</v>
      </c>
      <c r="C271" s="3">
        <v>89</v>
      </c>
      <c r="D271">
        <v>0</v>
      </c>
      <c r="H271" s="5">
        <v>244</v>
      </c>
      <c r="I271" s="5">
        <v>769576.52094099903</v>
      </c>
      <c r="J271" s="5">
        <v>-6416.6009409989929</v>
      </c>
    </row>
    <row r="272" spans="1:10" ht="15" thickBot="1">
      <c r="A272" s="3">
        <v>61995.3</v>
      </c>
      <c r="B272" s="3">
        <v>10192</v>
      </c>
      <c r="C272" s="3">
        <v>87.6</v>
      </c>
      <c r="D272">
        <v>0</v>
      </c>
      <c r="H272" s="5">
        <v>245</v>
      </c>
      <c r="I272" s="5">
        <v>790225.47742990102</v>
      </c>
      <c r="J272" s="5">
        <v>11776.202570099034</v>
      </c>
    </row>
    <row r="273" spans="1:10" ht="15" thickBot="1">
      <c r="A273" s="3">
        <v>29344.93</v>
      </c>
      <c r="B273" s="3">
        <v>7446</v>
      </c>
      <c r="C273" s="3">
        <v>86.2</v>
      </c>
      <c r="D273">
        <v>0</v>
      </c>
      <c r="H273" s="5">
        <v>246</v>
      </c>
      <c r="I273" s="5">
        <v>746168.99447380891</v>
      </c>
      <c r="J273" s="5">
        <v>4302.3455261910567</v>
      </c>
    </row>
    <row r="274" spans="1:10" ht="15" thickBot="1">
      <c r="A274" s="3">
        <v>50532.17</v>
      </c>
      <c r="B274" s="3">
        <v>5689</v>
      </c>
      <c r="C274" s="3">
        <v>85.6</v>
      </c>
      <c r="D274">
        <v>0</v>
      </c>
      <c r="H274" s="5">
        <v>247</v>
      </c>
      <c r="I274" s="5">
        <v>717244.79972389736</v>
      </c>
      <c r="J274" s="5">
        <v>-38013.939723897376</v>
      </c>
    </row>
    <row r="275" spans="1:10" ht="15" thickBot="1">
      <c r="A275" s="3">
        <v>17562.57</v>
      </c>
      <c r="B275" s="3">
        <v>3326</v>
      </c>
      <c r="C275" s="3">
        <v>88.1</v>
      </c>
      <c r="D275">
        <v>0</v>
      </c>
      <c r="H275" s="5">
        <v>248</v>
      </c>
      <c r="I275" s="5">
        <v>695794.67076054378</v>
      </c>
      <c r="J275" s="5">
        <v>-15905.930760543793</v>
      </c>
    </row>
    <row r="276" spans="1:10" ht="15" thickBot="1">
      <c r="A276" s="3">
        <v>47648.71</v>
      </c>
      <c r="B276" s="3">
        <v>5767</v>
      </c>
      <c r="C276" s="3">
        <v>89.8</v>
      </c>
      <c r="D276">
        <v>0</v>
      </c>
      <c r="H276" s="5">
        <v>249</v>
      </c>
      <c r="I276" s="5">
        <v>593283.11309442809</v>
      </c>
      <c r="J276" s="5">
        <v>13500.556905571953</v>
      </c>
    </row>
    <row r="277" spans="1:10" ht="15" thickBot="1">
      <c r="A277" s="3">
        <v>38297.58</v>
      </c>
      <c r="B277" s="3">
        <v>5893</v>
      </c>
      <c r="C277" s="3">
        <v>77.599999999999994</v>
      </c>
      <c r="D277">
        <v>0</v>
      </c>
      <c r="H277" s="5">
        <v>250</v>
      </c>
      <c r="I277" s="5">
        <v>651931.56371872663</v>
      </c>
      <c r="J277" s="5">
        <v>-9180.1437187265838</v>
      </c>
    </row>
    <row r="278" spans="1:10" ht="15" thickBot="1">
      <c r="A278" s="3">
        <v>61784.11</v>
      </c>
      <c r="B278" s="3">
        <v>8564</v>
      </c>
      <c r="C278" s="3">
        <v>87.4</v>
      </c>
      <c r="D278">
        <v>0</v>
      </c>
      <c r="H278" s="5">
        <v>251</v>
      </c>
      <c r="I278" s="5">
        <v>649443.99738964404</v>
      </c>
      <c r="J278" s="5">
        <v>-1490.2173896440072</v>
      </c>
    </row>
    <row r="279" spans="1:10" ht="15" thickBot="1">
      <c r="A279" s="3">
        <v>36832.33</v>
      </c>
      <c r="B279" s="3">
        <v>8001</v>
      </c>
      <c r="C279" s="3">
        <v>88.7</v>
      </c>
      <c r="D279">
        <v>0</v>
      </c>
      <c r="H279" s="5">
        <v>252</v>
      </c>
      <c r="I279" s="5">
        <v>709197.26276896393</v>
      </c>
      <c r="J279" s="5">
        <v>20243.18723103602</v>
      </c>
    </row>
    <row r="280" spans="1:10" ht="15" thickBot="1">
      <c r="A280" s="3">
        <v>48609.41</v>
      </c>
      <c r="B280" s="3">
        <v>9324</v>
      </c>
      <c r="C280" s="3">
        <v>86.5</v>
      </c>
      <c r="D280">
        <v>0</v>
      </c>
      <c r="H280" s="5">
        <v>253</v>
      </c>
      <c r="I280" s="5">
        <v>773201.05749787053</v>
      </c>
      <c r="J280" s="5">
        <v>-8252.0574978705263</v>
      </c>
    </row>
    <row r="281" spans="1:10" ht="15" thickBot="1">
      <c r="A281" s="3">
        <v>70284.06</v>
      </c>
      <c r="B281" s="3">
        <v>9109</v>
      </c>
      <c r="C281" s="3">
        <v>87</v>
      </c>
      <c r="D281">
        <v>0</v>
      </c>
      <c r="H281" s="5">
        <v>254</v>
      </c>
      <c r="I281" s="5">
        <v>725994.47886763001</v>
      </c>
      <c r="J281" s="5">
        <v>73052.461132369936</v>
      </c>
    </row>
    <row r="282" spans="1:10" ht="15" thickBot="1">
      <c r="A282" s="3">
        <v>45940.39</v>
      </c>
      <c r="B282" s="3">
        <v>4022</v>
      </c>
      <c r="C282" s="3">
        <v>83</v>
      </c>
      <c r="D282">
        <v>0</v>
      </c>
      <c r="H282" s="5">
        <v>255</v>
      </c>
      <c r="I282" s="5">
        <v>694455.56351464882</v>
      </c>
      <c r="J282" s="5">
        <v>25623.976485351217</v>
      </c>
    </row>
    <row r="283" spans="1:10" ht="15" thickBot="1">
      <c r="A283" s="3">
        <v>34771.26</v>
      </c>
      <c r="B283" s="3">
        <v>4355</v>
      </c>
      <c r="C283" s="3">
        <v>87.9</v>
      </c>
      <c r="D283">
        <v>0</v>
      </c>
      <c r="H283" s="5">
        <v>256</v>
      </c>
      <c r="I283" s="5">
        <v>654412.5554369645</v>
      </c>
      <c r="J283" s="5">
        <v>-42022.415436964482</v>
      </c>
    </row>
    <row r="284" spans="1:10" ht="15" thickBot="1">
      <c r="A284" s="3">
        <v>66104.19</v>
      </c>
      <c r="B284" s="3">
        <v>5745</v>
      </c>
      <c r="C284" s="3">
        <v>95.8</v>
      </c>
      <c r="D284">
        <v>0</v>
      </c>
      <c r="H284" s="5">
        <v>257</v>
      </c>
      <c r="I284" s="5">
        <v>741182.64867464197</v>
      </c>
      <c r="J284" s="5">
        <v>98925.471325358027</v>
      </c>
    </row>
    <row r="285" spans="1:10" ht="15" thickBot="1">
      <c r="A285" s="3">
        <v>18599.21</v>
      </c>
      <c r="B285" s="3">
        <v>3027</v>
      </c>
      <c r="C285" s="3">
        <v>80.900000000000006</v>
      </c>
      <c r="D285">
        <v>0</v>
      </c>
      <c r="H285" s="5">
        <v>258</v>
      </c>
      <c r="I285" s="5">
        <v>663070.96737315983</v>
      </c>
      <c r="J285" s="5">
        <v>34817.122626840137</v>
      </c>
    </row>
    <row r="286" spans="1:10" ht="15" thickBot="1">
      <c r="A286" s="3">
        <v>60183.06</v>
      </c>
      <c r="B286" s="3">
        <v>5562</v>
      </c>
      <c r="C286" s="3">
        <v>86.3</v>
      </c>
      <c r="D286">
        <v>0</v>
      </c>
      <c r="H286" s="5">
        <v>259</v>
      </c>
      <c r="I286" s="5">
        <v>731159.39389785437</v>
      </c>
      <c r="J286" s="5">
        <v>14956.196102145594</v>
      </c>
    </row>
    <row r="287" spans="1:10" ht="15" thickBot="1">
      <c r="A287" s="3">
        <v>74539.14</v>
      </c>
      <c r="B287" s="3">
        <v>4487</v>
      </c>
      <c r="C287" s="3">
        <v>90.4</v>
      </c>
      <c r="D287">
        <v>0</v>
      </c>
      <c r="H287" s="5">
        <v>260</v>
      </c>
      <c r="I287" s="5">
        <v>711530.54781445465</v>
      </c>
      <c r="J287" s="5">
        <v>64579.772185545298</v>
      </c>
    </row>
    <row r="288" spans="1:10" ht="15" thickBot="1">
      <c r="A288" s="3">
        <v>55371.97</v>
      </c>
      <c r="B288" s="3">
        <v>4162</v>
      </c>
      <c r="C288" s="3">
        <v>92</v>
      </c>
      <c r="D288">
        <v>0</v>
      </c>
      <c r="H288" s="5">
        <v>261</v>
      </c>
      <c r="I288" s="5">
        <v>517170.1862137136</v>
      </c>
      <c r="J288" s="5">
        <v>11682.43378628639</v>
      </c>
    </row>
    <row r="289" spans="1:10" ht="15" thickBot="1">
      <c r="A289" s="3">
        <v>40928.69</v>
      </c>
      <c r="B289" s="3">
        <v>4094</v>
      </c>
      <c r="C289" s="3">
        <v>82.4</v>
      </c>
      <c r="D289">
        <v>0</v>
      </c>
      <c r="H289" s="5">
        <v>262</v>
      </c>
      <c r="I289" s="5">
        <v>600386.25513955322</v>
      </c>
      <c r="J289" s="5">
        <v>5365.0748604467371</v>
      </c>
    </row>
    <row r="290" spans="1:10" ht="15" thickBot="1">
      <c r="A290" s="3">
        <v>70012.41</v>
      </c>
      <c r="B290" s="3">
        <v>8484</v>
      </c>
      <c r="C290" s="3">
        <v>72.900000000000006</v>
      </c>
      <c r="D290">
        <v>0</v>
      </c>
      <c r="H290" s="5">
        <v>263</v>
      </c>
      <c r="I290" s="5">
        <v>603310.7361972658</v>
      </c>
      <c r="J290" s="5">
        <v>74329.913802734227</v>
      </c>
    </row>
    <row r="291" spans="1:10" ht="15" thickBot="1">
      <c r="A291" s="3">
        <v>68909.259999999995</v>
      </c>
      <c r="B291" s="3">
        <v>7794</v>
      </c>
      <c r="C291" s="3">
        <v>89</v>
      </c>
      <c r="D291">
        <v>0</v>
      </c>
      <c r="H291" s="5">
        <v>264</v>
      </c>
      <c r="I291" s="5">
        <v>612327.30643594475</v>
      </c>
      <c r="J291" s="5">
        <v>24285.923564055236</v>
      </c>
    </row>
    <row r="292" spans="1:10" ht="15" thickBot="1">
      <c r="A292" s="3">
        <v>56737.3</v>
      </c>
      <c r="B292" s="3">
        <v>8300</v>
      </c>
      <c r="C292" s="3">
        <v>83.2</v>
      </c>
      <c r="D292">
        <v>0</v>
      </c>
      <c r="H292" s="5">
        <v>265</v>
      </c>
      <c r="I292" s="5">
        <v>729321.6675105883</v>
      </c>
      <c r="J292" s="5">
        <v>-20336.47751058836</v>
      </c>
    </row>
    <row r="293" spans="1:10" ht="15" thickBot="1">
      <c r="A293" s="3">
        <v>54080.91</v>
      </c>
      <c r="B293" s="3">
        <v>7083</v>
      </c>
      <c r="C293" s="3">
        <v>97</v>
      </c>
      <c r="D293">
        <v>0</v>
      </c>
      <c r="H293" s="5">
        <v>266</v>
      </c>
      <c r="I293" s="5">
        <v>741902.50177081767</v>
      </c>
      <c r="J293" s="5">
        <v>25890.438229182269</v>
      </c>
    </row>
    <row r="294" spans="1:10" ht="15" thickBot="1">
      <c r="A294" s="3">
        <v>51996.32</v>
      </c>
      <c r="B294" s="3">
        <v>3834</v>
      </c>
      <c r="C294" s="3">
        <v>86.7</v>
      </c>
      <c r="D294">
        <v>0</v>
      </c>
      <c r="H294" s="5">
        <v>267</v>
      </c>
      <c r="I294" s="5">
        <v>725873.50359414192</v>
      </c>
      <c r="J294" s="5">
        <v>19707.00640585809</v>
      </c>
    </row>
    <row r="295" spans="1:10" ht="15" thickBot="1">
      <c r="A295" s="3">
        <v>40102.879999999997</v>
      </c>
      <c r="B295" s="3">
        <v>2358</v>
      </c>
      <c r="C295" s="3">
        <v>88.7</v>
      </c>
      <c r="D295">
        <v>0</v>
      </c>
      <c r="H295" s="5">
        <v>268</v>
      </c>
      <c r="I295" s="5">
        <v>728199.8150693269</v>
      </c>
      <c r="J295" s="5">
        <v>34128.494930673158</v>
      </c>
    </row>
    <row r="296" spans="1:10" ht="15" thickBot="1">
      <c r="A296" s="3">
        <v>59825.51</v>
      </c>
      <c r="B296" s="3">
        <v>1231</v>
      </c>
      <c r="C296" s="3">
        <v>84.8</v>
      </c>
      <c r="D296">
        <v>0</v>
      </c>
      <c r="H296" s="5">
        <v>269</v>
      </c>
      <c r="I296" s="5">
        <v>738997.93418729224</v>
      </c>
      <c r="J296" s="5">
        <v>-78363.944187292247</v>
      </c>
    </row>
    <row r="297" spans="1:10" ht="15" thickBot="1">
      <c r="A297" s="3">
        <v>27398.28</v>
      </c>
      <c r="B297" s="3">
        <v>1723</v>
      </c>
      <c r="C297" s="3">
        <v>81</v>
      </c>
      <c r="D297">
        <v>0</v>
      </c>
      <c r="H297" s="5">
        <v>270</v>
      </c>
      <c r="I297" s="5">
        <v>691056.17190993321</v>
      </c>
      <c r="J297" s="5">
        <v>48318.388090066845</v>
      </c>
    </row>
    <row r="298" spans="1:10" ht="15" thickBot="1">
      <c r="A298" s="3">
        <v>55599.56</v>
      </c>
      <c r="B298" s="3">
        <v>5896</v>
      </c>
      <c r="C298" s="3">
        <v>93.1</v>
      </c>
      <c r="D298">
        <v>0</v>
      </c>
      <c r="H298" s="5">
        <v>271</v>
      </c>
      <c r="I298" s="5">
        <v>804686.44119514967</v>
      </c>
      <c r="J298" s="5">
        <v>-4929.9811951497104</v>
      </c>
    </row>
    <row r="299" spans="1:10" ht="15" thickBot="1">
      <c r="A299" s="3">
        <v>55477.61</v>
      </c>
      <c r="B299" s="3">
        <v>5903</v>
      </c>
      <c r="C299" s="3">
        <v>96.2</v>
      </c>
      <c r="D299">
        <v>0</v>
      </c>
      <c r="H299" s="5">
        <v>272</v>
      </c>
      <c r="I299" s="5">
        <v>669966.50079199986</v>
      </c>
      <c r="J299" s="5">
        <v>-76623.500791999861</v>
      </c>
    </row>
    <row r="300" spans="1:10" ht="15" thickBot="1">
      <c r="A300" s="3">
        <v>46174.7</v>
      </c>
      <c r="B300" s="3">
        <v>4898</v>
      </c>
      <c r="C300" s="3">
        <v>91.7</v>
      </c>
      <c r="D300">
        <v>0</v>
      </c>
      <c r="H300" s="5">
        <v>273</v>
      </c>
      <c r="I300" s="5">
        <v>634255.92495569377</v>
      </c>
      <c r="J300" s="5">
        <v>10784.0450443062</v>
      </c>
    </row>
    <row r="301" spans="1:10" ht="15" thickBot="1">
      <c r="A301" s="3">
        <v>24362.98</v>
      </c>
      <c r="B301" s="3">
        <v>1462</v>
      </c>
      <c r="C301" s="3">
        <v>89.3</v>
      </c>
      <c r="D301">
        <v>0</v>
      </c>
      <c r="H301" s="5">
        <v>274</v>
      </c>
      <c r="I301" s="5">
        <v>523580.43174889137</v>
      </c>
      <c r="J301" s="5">
        <v>38016.898251108592</v>
      </c>
    </row>
    <row r="302" spans="1:10" ht="15" thickBot="1">
      <c r="A302" s="3">
        <v>40647.67</v>
      </c>
      <c r="B302" s="3">
        <v>8252</v>
      </c>
      <c r="C302" s="3">
        <v>88.2</v>
      </c>
      <c r="D302">
        <v>0</v>
      </c>
      <c r="H302" s="5">
        <v>275</v>
      </c>
      <c r="I302" s="5">
        <v>645941.78666511911</v>
      </c>
      <c r="J302" s="5">
        <v>-10104.046665119124</v>
      </c>
    </row>
    <row r="303" spans="1:10" ht="15" thickBot="1">
      <c r="A303" s="3">
        <v>63986.98</v>
      </c>
      <c r="B303" s="3">
        <v>7989</v>
      </c>
      <c r="C303" s="3">
        <v>83.3</v>
      </c>
      <c r="D303">
        <v>0</v>
      </c>
      <c r="H303" s="5">
        <v>276</v>
      </c>
      <c r="I303" s="5">
        <v>602918.13009123283</v>
      </c>
      <c r="J303" s="5">
        <v>83819.739908767166</v>
      </c>
    </row>
    <row r="304" spans="1:10" ht="15" thickBot="1">
      <c r="A304" s="3">
        <v>52843.75</v>
      </c>
      <c r="B304" s="3">
        <v>8268</v>
      </c>
      <c r="C304" s="3">
        <v>87.3</v>
      </c>
      <c r="D304">
        <v>0</v>
      </c>
      <c r="H304" s="5">
        <v>277</v>
      </c>
      <c r="I304" s="5">
        <v>749259.81214010715</v>
      </c>
      <c r="J304" s="5">
        <v>-76183.472140107187</v>
      </c>
    </row>
    <row r="305" spans="1:10" ht="15" thickBot="1">
      <c r="A305" s="3">
        <v>31997.25</v>
      </c>
      <c r="B305" s="3">
        <v>8183</v>
      </c>
      <c r="C305" s="3">
        <v>93</v>
      </c>
      <c r="D305">
        <v>0</v>
      </c>
      <c r="H305" s="5">
        <v>278</v>
      </c>
      <c r="I305" s="5">
        <v>704825.07505835686</v>
      </c>
      <c r="J305" s="5">
        <v>33723.344941643183</v>
      </c>
    </row>
    <row r="306" spans="1:10" ht="15" thickBot="1">
      <c r="A306" s="3">
        <v>54948.02</v>
      </c>
      <c r="B306" s="3">
        <v>6534</v>
      </c>
      <c r="C306" s="3">
        <v>94.5</v>
      </c>
      <c r="D306">
        <v>0</v>
      </c>
      <c r="H306" s="5">
        <v>279</v>
      </c>
      <c r="I306" s="5">
        <v>756535.97623766609</v>
      </c>
      <c r="J306" s="5">
        <v>83.793762333923951</v>
      </c>
    </row>
    <row r="307" spans="1:10" ht="15" thickBot="1">
      <c r="A307" s="3">
        <v>46146.239999999998</v>
      </c>
      <c r="B307" s="3">
        <v>5804</v>
      </c>
      <c r="C307" s="3">
        <v>86.9</v>
      </c>
      <c r="D307">
        <v>0</v>
      </c>
      <c r="H307" s="5">
        <v>280</v>
      </c>
      <c r="I307" s="5">
        <v>776366.47597469098</v>
      </c>
      <c r="J307" s="5">
        <v>-15244.055974690942</v>
      </c>
    </row>
    <row r="308" spans="1:10" ht="15" thickBot="1">
      <c r="A308" s="3">
        <v>22387.26</v>
      </c>
      <c r="B308" s="3">
        <v>6301</v>
      </c>
      <c r="C308" s="3">
        <v>85.9</v>
      </c>
      <c r="D308">
        <v>0</v>
      </c>
      <c r="H308" s="5">
        <v>281</v>
      </c>
      <c r="I308" s="5">
        <v>565231.09399983962</v>
      </c>
      <c r="J308" s="5">
        <v>-40331.523999839672</v>
      </c>
    </row>
    <row r="309" spans="1:10" ht="15" thickBot="1">
      <c r="A309" s="3">
        <v>60684.05</v>
      </c>
      <c r="B309" s="3">
        <v>6399</v>
      </c>
      <c r="C309" s="3">
        <v>99</v>
      </c>
      <c r="D309">
        <v>0</v>
      </c>
      <c r="H309" s="5">
        <v>282</v>
      </c>
      <c r="I309" s="5">
        <v>577776.17516403436</v>
      </c>
      <c r="J309" s="5">
        <v>-22218.405164034339</v>
      </c>
    </row>
    <row r="310" spans="1:10" ht="15" thickBot="1">
      <c r="A310" s="3">
        <v>48465.599999999999</v>
      </c>
      <c r="B310" s="3">
        <v>5759</v>
      </c>
      <c r="C310" s="3">
        <v>87.5</v>
      </c>
      <c r="D310">
        <v>0</v>
      </c>
      <c r="H310" s="5">
        <v>283</v>
      </c>
      <c r="I310" s="5">
        <v>684777.92851061968</v>
      </c>
      <c r="J310" s="5">
        <v>29305.751489380375</v>
      </c>
    </row>
    <row r="311" spans="1:10" ht="15" thickBot="1">
      <c r="A311" s="3">
        <v>23702.38</v>
      </c>
      <c r="B311" s="3">
        <v>5285</v>
      </c>
      <c r="C311" s="3">
        <v>79.7</v>
      </c>
      <c r="D311">
        <v>0</v>
      </c>
      <c r="H311" s="5">
        <v>284</v>
      </c>
      <c r="I311" s="5">
        <v>493400.10274274903</v>
      </c>
      <c r="J311" s="5">
        <v>4039.7172572509735</v>
      </c>
    </row>
    <row r="312" spans="1:10" ht="15" thickBot="1">
      <c r="A312" s="3">
        <v>54322.94</v>
      </c>
      <c r="B312" s="3">
        <v>5434</v>
      </c>
      <c r="C312" s="3">
        <v>85.7</v>
      </c>
      <c r="D312">
        <v>0</v>
      </c>
      <c r="H312" s="5">
        <v>285</v>
      </c>
      <c r="I312" s="5">
        <v>643454.66588957969</v>
      </c>
      <c r="J312" s="5">
        <v>-6679.0058895796537</v>
      </c>
    </row>
    <row r="313" spans="1:10" ht="15" thickBot="1">
      <c r="A313" s="3">
        <v>86026.58</v>
      </c>
      <c r="B313" s="3">
        <v>7479</v>
      </c>
      <c r="C313" s="3">
        <v>89</v>
      </c>
      <c r="D313">
        <v>0</v>
      </c>
      <c r="H313" s="5">
        <v>286</v>
      </c>
      <c r="I313" s="5">
        <v>636511.1523074382</v>
      </c>
      <c r="J313" s="5">
        <v>-3501.6223074381705</v>
      </c>
    </row>
    <row r="314" spans="1:10" ht="15" thickBot="1">
      <c r="A314" s="3">
        <v>78967.520000000004</v>
      </c>
      <c r="B314" s="3">
        <v>6164</v>
      </c>
      <c r="C314" s="3">
        <v>85.5</v>
      </c>
      <c r="D314">
        <v>0</v>
      </c>
      <c r="H314" s="5">
        <v>287</v>
      </c>
      <c r="I314" s="5">
        <v>607766.92345340084</v>
      </c>
      <c r="J314" s="5">
        <v>2182.0765465991572</v>
      </c>
    </row>
    <row r="315" spans="1:10" ht="15" thickBot="1">
      <c r="A315" s="3">
        <v>46767.99</v>
      </c>
      <c r="B315" s="3">
        <v>7973</v>
      </c>
      <c r="C315" s="3">
        <v>94.8</v>
      </c>
      <c r="D315">
        <v>0</v>
      </c>
      <c r="H315" s="5">
        <v>288</v>
      </c>
      <c r="I315" s="5">
        <v>559954.83900298458</v>
      </c>
      <c r="J315" s="5">
        <v>-11851.139002984622</v>
      </c>
    </row>
    <row r="316" spans="1:10" ht="15" thickBot="1">
      <c r="A316" s="3">
        <v>62507.16</v>
      </c>
      <c r="B316" s="3">
        <v>6000</v>
      </c>
      <c r="C316" s="3">
        <v>98.2</v>
      </c>
      <c r="D316">
        <v>0</v>
      </c>
      <c r="H316" s="5">
        <v>289</v>
      </c>
      <c r="I316" s="5">
        <v>713226.6110207208</v>
      </c>
      <c r="J316" s="5">
        <v>16197.808979279245</v>
      </c>
    </row>
    <row r="317" spans="1:10" ht="15" thickBot="1">
      <c r="A317" s="3">
        <v>66456.28</v>
      </c>
      <c r="B317" s="3">
        <v>9967</v>
      </c>
      <c r="C317" s="3">
        <v>94.7</v>
      </c>
      <c r="D317">
        <v>0</v>
      </c>
      <c r="H317" s="5">
        <v>290</v>
      </c>
      <c r="I317" s="5">
        <v>736594.30411086779</v>
      </c>
      <c r="J317" s="5">
        <v>-40332.814110867796</v>
      </c>
    </row>
    <row r="318" spans="1:10" ht="15" thickBot="1">
      <c r="A318" s="3">
        <v>76614.320000000007</v>
      </c>
      <c r="B318" s="3">
        <v>5639</v>
      </c>
      <c r="C318" s="3">
        <v>92.9</v>
      </c>
      <c r="D318">
        <v>0</v>
      </c>
      <c r="H318" s="5">
        <v>291</v>
      </c>
      <c r="I318" s="5">
        <v>721987.89842476032</v>
      </c>
      <c r="J318" s="5">
        <v>91328.811575239641</v>
      </c>
    </row>
    <row r="319" spans="1:10" ht="15" thickBot="1">
      <c r="A319" s="3">
        <v>24088.06</v>
      </c>
      <c r="B319" s="3">
        <v>3466</v>
      </c>
      <c r="C319" s="3">
        <v>88</v>
      </c>
      <c r="D319">
        <v>0</v>
      </c>
      <c r="H319" s="5">
        <v>292</v>
      </c>
      <c r="I319" s="5">
        <v>719026.02464889293</v>
      </c>
      <c r="J319" s="5">
        <v>-16957.104648892884</v>
      </c>
    </row>
    <row r="320" spans="1:10" ht="15" thickBot="1">
      <c r="A320" s="3">
        <v>81902.58</v>
      </c>
      <c r="B320" s="3">
        <v>7775</v>
      </c>
      <c r="C320" s="3">
        <v>85.2</v>
      </c>
      <c r="D320">
        <v>0</v>
      </c>
      <c r="H320" s="5">
        <v>293</v>
      </c>
      <c r="I320" s="5">
        <v>577053.48773436795</v>
      </c>
      <c r="J320" s="5">
        <v>-30829.787734368001</v>
      </c>
    </row>
    <row r="321" spans="1:10" ht="15" thickBot="1">
      <c r="A321" s="3">
        <v>40553.11</v>
      </c>
      <c r="B321" s="3">
        <v>5317</v>
      </c>
      <c r="C321" s="3">
        <v>84.3</v>
      </c>
      <c r="D321">
        <v>0</v>
      </c>
      <c r="H321" s="5">
        <v>294</v>
      </c>
      <c r="I321" s="5">
        <v>519481.76949492225</v>
      </c>
      <c r="J321" s="5">
        <v>13639.49050507776</v>
      </c>
    </row>
    <row r="322" spans="1:10">
      <c r="H322" s="5">
        <v>295</v>
      </c>
      <c r="I322" s="5">
        <v>493369.06678580737</v>
      </c>
      <c r="J322" s="5">
        <v>5601.2532141926349</v>
      </c>
    </row>
    <row r="323" spans="1:10">
      <c r="H323" s="5">
        <v>296</v>
      </c>
      <c r="I323" s="5">
        <v>460350.45536388492</v>
      </c>
      <c r="J323" s="5">
        <v>27387.804636115092</v>
      </c>
    </row>
    <row r="324" spans="1:10">
      <c r="H324" s="5">
        <v>297</v>
      </c>
      <c r="I324" s="5">
        <v>669439.07323250512</v>
      </c>
      <c r="J324" s="5">
        <v>-979.70323250512592</v>
      </c>
    </row>
    <row r="325" spans="1:10">
      <c r="H325" s="5">
        <v>298</v>
      </c>
      <c r="I325" s="5">
        <v>678734.24267033301</v>
      </c>
      <c r="J325" s="5">
        <v>84428.20732966694</v>
      </c>
    </row>
    <row r="326" spans="1:10">
      <c r="H326" s="5">
        <v>299</v>
      </c>
      <c r="I326" s="5">
        <v>620709.28510067356</v>
      </c>
      <c r="J326" s="5">
        <v>-21691.9551006736</v>
      </c>
    </row>
    <row r="327" spans="1:10">
      <c r="H327" s="5">
        <v>300</v>
      </c>
      <c r="I327" s="5">
        <v>472664.62305107713</v>
      </c>
      <c r="J327" s="5">
        <v>-71082.043051077111</v>
      </c>
    </row>
    <row r="328" spans="1:10">
      <c r="H328" s="5">
        <v>301</v>
      </c>
      <c r="I328" s="5">
        <v>716254.38161139027</v>
      </c>
      <c r="J328" s="5">
        <v>-12441.391611390281</v>
      </c>
    </row>
    <row r="329" spans="1:10">
      <c r="H329" s="5">
        <v>302</v>
      </c>
      <c r="I329" s="5">
        <v>720404.9578644709</v>
      </c>
      <c r="J329" s="5">
        <v>3941.7721355290851</v>
      </c>
    </row>
    <row r="330" spans="1:10">
      <c r="H330" s="5">
        <v>303</v>
      </c>
      <c r="I330" s="5">
        <v>728497.85346244101</v>
      </c>
      <c r="J330" s="5">
        <v>2392.1565375589998</v>
      </c>
    </row>
    <row r="331" spans="1:10">
      <c r="H331" s="5">
        <v>304</v>
      </c>
      <c r="I331" s="5">
        <v>717993.80746601359</v>
      </c>
      <c r="J331" s="5">
        <v>62587.142533986364</v>
      </c>
    </row>
    <row r="332" spans="1:10">
      <c r="H332" s="5">
        <v>305</v>
      </c>
      <c r="I332" s="5">
        <v>694218.61766028684</v>
      </c>
      <c r="J332" s="5">
        <v>33738.862339713145</v>
      </c>
    </row>
    <row r="333" spans="1:10">
      <c r="H333" s="5">
        <v>306</v>
      </c>
      <c r="I333" s="5">
        <v>636800.48087561456</v>
      </c>
      <c r="J333" s="5">
        <v>-98424.480875614565</v>
      </c>
    </row>
    <row r="334" spans="1:10">
      <c r="H334" s="5">
        <v>307</v>
      </c>
      <c r="I334" s="5">
        <v>622482.92711979407</v>
      </c>
      <c r="J334" s="5">
        <v>42859.562880205922</v>
      </c>
    </row>
    <row r="335" spans="1:10">
      <c r="H335" s="5">
        <v>308</v>
      </c>
      <c r="I335" s="5">
        <v>709816.130371087</v>
      </c>
      <c r="J335" s="5">
        <v>-58651.950371086947</v>
      </c>
    </row>
    <row r="336" spans="1:10">
      <c r="H336" s="5">
        <v>309</v>
      </c>
      <c r="I336" s="5">
        <v>639807.71676594543</v>
      </c>
      <c r="J336" s="5">
        <v>-11269.416765945381</v>
      </c>
    </row>
    <row r="337" spans="8:10">
      <c r="H337" s="5">
        <v>310</v>
      </c>
      <c r="I337" s="5">
        <v>571560.36394947011</v>
      </c>
      <c r="J337" s="5">
        <v>-35035.523949470138</v>
      </c>
    </row>
    <row r="338" spans="8:10">
      <c r="H338" s="5">
        <v>311</v>
      </c>
      <c r="I338" s="5">
        <v>630472.49247235851</v>
      </c>
      <c r="J338" s="5">
        <v>-8795.1924723584671</v>
      </c>
    </row>
    <row r="339" spans="8:10">
      <c r="H339" s="5">
        <v>312</v>
      </c>
      <c r="I339" s="5">
        <v>746214.32398183015</v>
      </c>
      <c r="J339" s="5">
        <v>24914.746018169797</v>
      </c>
    </row>
    <row r="340" spans="8:10">
      <c r="H340" s="5">
        <v>313</v>
      </c>
      <c r="I340" s="5">
        <v>683410.26394250721</v>
      </c>
      <c r="J340" s="5">
        <v>18642.20605749276</v>
      </c>
    </row>
    <row r="341" spans="8:10">
      <c r="H341" s="5">
        <v>314</v>
      </c>
      <c r="I341" s="5">
        <v>733712.05987337464</v>
      </c>
      <c r="J341" s="5">
        <v>-45343.599873374682</v>
      </c>
    </row>
    <row r="342" spans="8:10">
      <c r="H342" s="5">
        <v>315</v>
      </c>
      <c r="I342" s="5">
        <v>696212.565014716</v>
      </c>
      <c r="J342" s="5">
        <v>16163.204985284014</v>
      </c>
    </row>
    <row r="343" spans="8:10">
      <c r="H343" s="5">
        <v>316</v>
      </c>
      <c r="I343" s="5">
        <v>823482.82775977056</v>
      </c>
      <c r="J343" s="5">
        <v>21227.842240229482</v>
      </c>
    </row>
    <row r="344" spans="8:10">
      <c r="H344" s="5">
        <v>317</v>
      </c>
      <c r="I344" s="5">
        <v>685004.99882842437</v>
      </c>
      <c r="J344" s="5">
        <v>-64740.79882842442</v>
      </c>
    </row>
    <row r="345" spans="8:10">
      <c r="H345" s="5">
        <v>318</v>
      </c>
      <c r="I345" s="5">
        <v>535671.03708646493</v>
      </c>
      <c r="J345" s="5">
        <v>1174.3829135351116</v>
      </c>
    </row>
    <row r="346" spans="8:10">
      <c r="H346" s="5">
        <v>319</v>
      </c>
      <c r="I346" s="5">
        <v>739993.81072779023</v>
      </c>
      <c r="J346" s="5">
        <v>-13217.590727790259</v>
      </c>
    </row>
    <row r="347" spans="8:10" ht="15" thickBot="1">
      <c r="H347" s="6">
        <v>320</v>
      </c>
      <c r="I347" s="6">
        <v>606158.2601938555</v>
      </c>
      <c r="J347" s="6">
        <v>-46497.420193855534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D1C1-32CA-4516-B469-A31A56D9FD67}">
  <dimension ref="A1:C323"/>
  <sheetViews>
    <sheetView workbookViewId="0">
      <selection activeCell="H13" sqref="H13"/>
    </sheetView>
  </sheetViews>
  <sheetFormatPr defaultRowHeight="14.5"/>
  <cols>
    <col min="1" max="1" width="14.7265625" customWidth="1"/>
    <col min="2" max="2" width="23" customWidth="1"/>
    <col min="3" max="3" width="18" customWidth="1"/>
  </cols>
  <sheetData>
    <row r="1" spans="1:3">
      <c r="A1" t="s">
        <v>133</v>
      </c>
    </row>
    <row r="2" spans="1:3" ht="15" thickBot="1"/>
    <row r="3" spans="1:3">
      <c r="A3" s="7" t="s">
        <v>134</v>
      </c>
      <c r="B3" s="7" t="s">
        <v>135</v>
      </c>
      <c r="C3" s="7" t="s">
        <v>136</v>
      </c>
    </row>
    <row r="4" spans="1:3">
      <c r="A4" s="5">
        <v>1</v>
      </c>
      <c r="B4" s="5">
        <v>713803.75859888934</v>
      </c>
      <c r="C4" s="5">
        <v>-54971.138598889345</v>
      </c>
    </row>
    <row r="5" spans="1:3">
      <c r="A5" s="5">
        <v>2</v>
      </c>
      <c r="B5" s="5">
        <v>716600.35440368927</v>
      </c>
      <c r="C5" s="5">
        <v>-82164.354403689271</v>
      </c>
    </row>
    <row r="6" spans="1:3">
      <c r="A6" s="5">
        <v>3</v>
      </c>
      <c r="B6" s="5">
        <v>767252.49995118147</v>
      </c>
      <c r="C6" s="5">
        <v>-88530.439951181412</v>
      </c>
    </row>
    <row r="7" spans="1:3">
      <c r="A7" s="5">
        <v>4</v>
      </c>
      <c r="B7" s="5">
        <v>771034.63579872763</v>
      </c>
      <c r="C7" s="5">
        <v>-112114.33579872758</v>
      </c>
    </row>
    <row r="8" spans="1:3">
      <c r="A8" s="5">
        <v>5</v>
      </c>
      <c r="B8" s="5">
        <v>796670.8629426735</v>
      </c>
      <c r="C8" s="5">
        <v>-55329.422942673555</v>
      </c>
    </row>
    <row r="9" spans="1:3">
      <c r="A9" s="5">
        <v>6</v>
      </c>
      <c r="B9" s="5">
        <v>784500.16740748473</v>
      </c>
      <c r="C9" s="5">
        <v>-22664.827407484758</v>
      </c>
    </row>
    <row r="10" spans="1:3">
      <c r="A10" s="5">
        <v>7</v>
      </c>
      <c r="B10" s="5">
        <v>793169.64025005128</v>
      </c>
      <c r="C10" s="5">
        <v>13445.89974994876</v>
      </c>
    </row>
    <row r="11" spans="1:3">
      <c r="A11" s="5">
        <v>8</v>
      </c>
      <c r="B11" s="5">
        <v>781210.79066793551</v>
      </c>
      <c r="C11" s="5">
        <v>68953.469332064502</v>
      </c>
    </row>
    <row r="12" spans="1:3">
      <c r="A12" s="5">
        <v>9</v>
      </c>
      <c r="B12" s="5">
        <v>871293.53853390634</v>
      </c>
      <c r="C12" s="5">
        <v>59288.161466093617</v>
      </c>
    </row>
    <row r="13" spans="1:3">
      <c r="A13" s="5">
        <v>10</v>
      </c>
      <c r="B13" s="5">
        <v>805273.25242392602</v>
      </c>
      <c r="C13" s="5">
        <v>-26262.31242392608</v>
      </c>
    </row>
    <row r="14" spans="1:3">
      <c r="A14" s="5">
        <v>11</v>
      </c>
      <c r="B14" s="5">
        <v>765541.56144412712</v>
      </c>
      <c r="C14" s="5">
        <v>-42480.801444127108</v>
      </c>
    </row>
    <row r="15" spans="1:3">
      <c r="A15" s="5">
        <v>12</v>
      </c>
      <c r="B15" s="5">
        <v>865361.27529812383</v>
      </c>
      <c r="C15" s="5">
        <v>45430.664701876114</v>
      </c>
    </row>
    <row r="16" spans="1:3">
      <c r="A16" s="5">
        <v>13</v>
      </c>
      <c r="B16" s="5">
        <v>885364.95445393515</v>
      </c>
      <c r="C16" s="5">
        <v>36803.645546064829</v>
      </c>
    </row>
    <row r="17" spans="1:3">
      <c r="A17" s="5">
        <v>14</v>
      </c>
      <c r="B17" s="5">
        <v>784640.59995007573</v>
      </c>
      <c r="C17" s="5">
        <v>-58034.319950075704</v>
      </c>
    </row>
    <row r="18" spans="1:3">
      <c r="A18" s="5">
        <v>15</v>
      </c>
      <c r="B18" s="5">
        <v>762304.2251694235</v>
      </c>
      <c r="C18" s="5">
        <v>-15803.135169423535</v>
      </c>
    </row>
    <row r="19" spans="1:3">
      <c r="A19" s="5">
        <v>16</v>
      </c>
      <c r="B19" s="5">
        <v>812501.3529728679</v>
      </c>
      <c r="C19" s="5">
        <v>21515.66702713212</v>
      </c>
    </row>
    <row r="20" spans="1:3">
      <c r="A20" s="5">
        <v>17</v>
      </c>
      <c r="B20" s="5">
        <v>684320.29993820959</v>
      </c>
      <c r="C20" s="5">
        <v>-18167.779938209569</v>
      </c>
    </row>
    <row r="21" spans="1:3">
      <c r="A21" s="5">
        <v>18</v>
      </c>
      <c r="B21" s="5">
        <v>602505.63151150476</v>
      </c>
      <c r="C21" s="5">
        <v>-29350.441511504818</v>
      </c>
    </row>
    <row r="22" spans="1:3">
      <c r="A22" s="5">
        <v>19</v>
      </c>
      <c r="B22" s="5">
        <v>687795.20835596113</v>
      </c>
      <c r="C22" s="5">
        <v>-21222.008355961181</v>
      </c>
    </row>
    <row r="23" spans="1:3">
      <c r="A23" s="5">
        <v>20</v>
      </c>
      <c r="B23" s="5">
        <v>603927.91697386582</v>
      </c>
      <c r="C23" s="5">
        <v>-12307.96697386587</v>
      </c>
    </row>
    <row r="24" spans="1:3">
      <c r="A24" s="5">
        <v>21</v>
      </c>
      <c r="B24" s="5">
        <v>511968.00611149461</v>
      </c>
      <c r="C24" s="5">
        <v>-96246.186111494608</v>
      </c>
    </row>
    <row r="25" spans="1:3">
      <c r="A25" s="5">
        <v>22</v>
      </c>
      <c r="B25" s="5">
        <v>503179.21697102871</v>
      </c>
      <c r="C25" s="5">
        <v>-11274.086971028708</v>
      </c>
    </row>
    <row r="26" spans="1:3">
      <c r="A26" s="5">
        <v>23</v>
      </c>
      <c r="B26" s="5">
        <v>535869.95981660765</v>
      </c>
      <c r="C26" s="5">
        <v>20059.440183392377</v>
      </c>
    </row>
    <row r="27" spans="1:3">
      <c r="A27" s="5">
        <v>24</v>
      </c>
      <c r="B27" s="5">
        <v>564014.46462132235</v>
      </c>
      <c r="C27" s="5">
        <v>1796.5253786776448</v>
      </c>
    </row>
    <row r="28" spans="1:3">
      <c r="A28" s="5">
        <v>25</v>
      </c>
      <c r="B28" s="5">
        <v>821867.71308498667</v>
      </c>
      <c r="C28" s="5">
        <v>-10096.573084986652</v>
      </c>
    </row>
    <row r="29" spans="1:3">
      <c r="A29" s="5">
        <v>26</v>
      </c>
      <c r="B29" s="5">
        <v>888302.43567966705</v>
      </c>
      <c r="C29" s="5">
        <v>-87850.495679667103</v>
      </c>
    </row>
    <row r="30" spans="1:3">
      <c r="A30" s="5">
        <v>27</v>
      </c>
      <c r="B30" s="5">
        <v>780120.90958781424</v>
      </c>
      <c r="C30" s="5">
        <v>3551.910412185709</v>
      </c>
    </row>
    <row r="31" spans="1:3">
      <c r="A31" s="5">
        <v>28</v>
      </c>
      <c r="B31" s="5">
        <v>684105.01596828399</v>
      </c>
      <c r="C31" s="5">
        <v>17536.954031715984</v>
      </c>
    </row>
    <row r="32" spans="1:3">
      <c r="A32" s="5">
        <v>29</v>
      </c>
      <c r="B32" s="5">
        <v>596745.85994430154</v>
      </c>
      <c r="C32" s="5">
        <v>-84901.449944301567</v>
      </c>
    </row>
    <row r="33" spans="1:3">
      <c r="A33" s="5">
        <v>30</v>
      </c>
      <c r="B33" s="5">
        <v>544195.888913634</v>
      </c>
      <c r="C33" s="5">
        <v>-6812.0989136339631</v>
      </c>
    </row>
    <row r="34" spans="1:3">
      <c r="A34" s="5">
        <v>31</v>
      </c>
      <c r="B34" s="5">
        <v>525742.87141456758</v>
      </c>
      <c r="C34" s="5">
        <v>-25569.851414567558</v>
      </c>
    </row>
    <row r="35" spans="1:3">
      <c r="A35" s="5">
        <v>32</v>
      </c>
      <c r="B35" s="5">
        <v>511573.4669212625</v>
      </c>
      <c r="C35" s="5">
        <v>-83656.086921262497</v>
      </c>
    </row>
    <row r="36" spans="1:3">
      <c r="A36" s="5">
        <v>33</v>
      </c>
      <c r="B36" s="5">
        <v>757615.63716975343</v>
      </c>
      <c r="C36" s="5">
        <v>-115750.60716975341</v>
      </c>
    </row>
    <row r="37" spans="1:3">
      <c r="A37" s="5">
        <v>34</v>
      </c>
      <c r="B37" s="5">
        <v>860353.474037654</v>
      </c>
      <c r="C37" s="5">
        <v>-60875.71403765399</v>
      </c>
    </row>
    <row r="38" spans="1:3">
      <c r="A38" s="5">
        <v>35</v>
      </c>
      <c r="B38" s="5">
        <v>807777.59591282113</v>
      </c>
      <c r="C38" s="5">
        <v>-8825.4259128210833</v>
      </c>
    </row>
    <row r="39" spans="1:3">
      <c r="A39" s="5">
        <v>36</v>
      </c>
      <c r="B39" s="5">
        <v>836071.05081105535</v>
      </c>
      <c r="C39" s="5">
        <v>-35091.270811055321</v>
      </c>
    </row>
    <row r="40" spans="1:3">
      <c r="A40" s="5">
        <v>37</v>
      </c>
      <c r="B40" s="5">
        <v>761579.09571863594</v>
      </c>
      <c r="C40" s="5">
        <v>59014.834281364107</v>
      </c>
    </row>
    <row r="41" spans="1:3">
      <c r="A41" s="5">
        <v>38</v>
      </c>
      <c r="B41" s="5">
        <v>751275.32599850092</v>
      </c>
      <c r="C41" s="5">
        <v>-32944.795998500893</v>
      </c>
    </row>
    <row r="42" spans="1:3">
      <c r="A42" s="5">
        <v>39</v>
      </c>
      <c r="B42" s="5">
        <v>739556.76220611902</v>
      </c>
      <c r="C42" s="5">
        <v>-2923.3622061189963</v>
      </c>
    </row>
    <row r="43" spans="1:3">
      <c r="A43" s="5">
        <v>40</v>
      </c>
      <c r="B43" s="5">
        <v>820097.16519073653</v>
      </c>
      <c r="C43" s="5">
        <v>8526.6848092634464</v>
      </c>
    </row>
    <row r="44" spans="1:3">
      <c r="A44" s="5">
        <v>41</v>
      </c>
      <c r="B44" s="5">
        <v>582859.15834168997</v>
      </c>
      <c r="C44" s="5">
        <v>9336.6916583100101</v>
      </c>
    </row>
    <row r="45" spans="1:3">
      <c r="A45" s="5">
        <v>42</v>
      </c>
      <c r="B45" s="5">
        <v>516227.29491687345</v>
      </c>
      <c r="C45" s="5">
        <v>16417.165083126514</v>
      </c>
    </row>
    <row r="46" spans="1:3">
      <c r="A46" s="5">
        <v>43</v>
      </c>
      <c r="B46" s="5">
        <v>584574.63782428112</v>
      </c>
      <c r="C46" s="5">
        <v>72854.542175718932</v>
      </c>
    </row>
    <row r="47" spans="1:3">
      <c r="A47" s="5">
        <v>44</v>
      </c>
      <c r="B47" s="5">
        <v>589074.53948698146</v>
      </c>
      <c r="C47" s="5">
        <v>16103.460513018537</v>
      </c>
    </row>
    <row r="48" spans="1:3">
      <c r="A48" s="5">
        <v>45</v>
      </c>
      <c r="B48" s="5">
        <v>727869.85890443996</v>
      </c>
      <c r="C48" s="5">
        <v>-132402.25890443998</v>
      </c>
    </row>
    <row r="49" spans="1:3">
      <c r="A49" s="5">
        <v>46</v>
      </c>
      <c r="B49" s="5">
        <v>647090.95436902007</v>
      </c>
      <c r="C49" s="5">
        <v>-47487.554369020043</v>
      </c>
    </row>
    <row r="50" spans="1:3">
      <c r="A50" s="5">
        <v>47</v>
      </c>
      <c r="B50" s="5">
        <v>586215.71516192076</v>
      </c>
      <c r="C50" s="5">
        <v>28584.374838079209</v>
      </c>
    </row>
    <row r="51" spans="1:3">
      <c r="A51" s="5">
        <v>48</v>
      </c>
      <c r="B51" s="5">
        <v>577285.02818713582</v>
      </c>
      <c r="C51" s="5">
        <v>8080.7018128641648</v>
      </c>
    </row>
    <row r="52" spans="1:3">
      <c r="A52" s="5">
        <v>49</v>
      </c>
      <c r="B52" s="5">
        <v>644772.90314388578</v>
      </c>
      <c r="C52" s="5">
        <v>-21961.163143885788</v>
      </c>
    </row>
    <row r="53" spans="1:3">
      <c r="A53" s="5">
        <v>50</v>
      </c>
      <c r="B53" s="5">
        <v>585579.20950452983</v>
      </c>
      <c r="C53" s="5">
        <v>17718.360495470115</v>
      </c>
    </row>
    <row r="54" spans="1:3">
      <c r="A54" s="5">
        <v>51</v>
      </c>
      <c r="B54" s="5">
        <v>598098.80525603739</v>
      </c>
      <c r="C54" s="5">
        <v>27574.054743962595</v>
      </c>
    </row>
    <row r="55" spans="1:3">
      <c r="A55" s="5">
        <v>52</v>
      </c>
      <c r="B55" s="5">
        <v>726024.00755421096</v>
      </c>
      <c r="C55" s="5">
        <v>47791.132445789059</v>
      </c>
    </row>
    <row r="56" spans="1:3">
      <c r="A56" s="5">
        <v>53</v>
      </c>
      <c r="B56" s="5">
        <v>552521.06719374214</v>
      </c>
      <c r="C56" s="5">
        <v>-88986.817193742143</v>
      </c>
    </row>
    <row r="57" spans="1:3">
      <c r="A57" s="5">
        <v>54</v>
      </c>
      <c r="B57" s="5">
        <v>708272.96201741416</v>
      </c>
      <c r="C57" s="5">
        <v>38404.78798258584</v>
      </c>
    </row>
    <row r="58" spans="1:3">
      <c r="A58" s="5">
        <v>55</v>
      </c>
      <c r="B58" s="5">
        <v>671733.60953584861</v>
      </c>
      <c r="C58" s="5">
        <v>49118.890464151395</v>
      </c>
    </row>
    <row r="59" spans="1:3">
      <c r="A59" s="5">
        <v>56</v>
      </c>
      <c r="B59" s="5">
        <v>523699.94655898749</v>
      </c>
      <c r="C59" s="5">
        <v>-36235.036558987515</v>
      </c>
    </row>
    <row r="60" spans="1:3">
      <c r="A60" s="5">
        <v>57</v>
      </c>
      <c r="B60" s="5">
        <v>539459.7011604046</v>
      </c>
      <c r="C60" s="5">
        <v>-21410.441160404589</v>
      </c>
    </row>
    <row r="61" spans="1:3">
      <c r="A61" s="5">
        <v>58</v>
      </c>
      <c r="B61" s="5">
        <v>535441.76217847271</v>
      </c>
      <c r="C61" s="5">
        <v>-35143.282178472728</v>
      </c>
    </row>
    <row r="62" spans="1:3">
      <c r="A62" s="5">
        <v>59</v>
      </c>
      <c r="B62" s="5">
        <v>689082.2110177658</v>
      </c>
      <c r="C62" s="5">
        <v>-71791.06101776578</v>
      </c>
    </row>
    <row r="63" spans="1:3">
      <c r="A63" s="5">
        <v>60</v>
      </c>
      <c r="B63" s="5">
        <v>627673.218827095</v>
      </c>
      <c r="C63" s="5">
        <v>-73916.788827094948</v>
      </c>
    </row>
    <row r="64" spans="1:3">
      <c r="A64" s="5">
        <v>61</v>
      </c>
      <c r="B64" s="5">
        <v>679844.95340381295</v>
      </c>
      <c r="C64" s="5">
        <v>69714.756596187013</v>
      </c>
    </row>
    <row r="65" spans="1:3">
      <c r="A65" s="5">
        <v>62</v>
      </c>
      <c r="B65" s="5">
        <v>562266.20823896164</v>
      </c>
      <c r="C65" s="5">
        <v>53700.271761038341</v>
      </c>
    </row>
    <row r="66" spans="1:3">
      <c r="A66" s="5">
        <v>63</v>
      </c>
      <c r="B66" s="5">
        <v>581411.47791659948</v>
      </c>
      <c r="C66" s="5">
        <v>-9400.2779165995307</v>
      </c>
    </row>
    <row r="67" spans="1:3">
      <c r="A67" s="5">
        <v>64</v>
      </c>
      <c r="B67" s="5">
        <v>710594.73084683623</v>
      </c>
      <c r="C67" s="5">
        <v>51265.459153163712</v>
      </c>
    </row>
    <row r="68" spans="1:3">
      <c r="A68" s="5">
        <v>65</v>
      </c>
      <c r="B68" s="5">
        <v>802341.77071831143</v>
      </c>
      <c r="C68" s="5">
        <v>-17839.090718311374</v>
      </c>
    </row>
    <row r="69" spans="1:3">
      <c r="A69" s="5">
        <v>66</v>
      </c>
      <c r="B69" s="5">
        <v>733316.82256864128</v>
      </c>
      <c r="C69" s="5">
        <v>-16175.27256864123</v>
      </c>
    </row>
    <row r="70" spans="1:3">
      <c r="A70" s="5">
        <v>67</v>
      </c>
      <c r="B70" s="5">
        <v>840081.12220363459</v>
      </c>
      <c r="C70" s="5">
        <v>-154702.04220363463</v>
      </c>
    </row>
    <row r="71" spans="1:3">
      <c r="A71" s="5">
        <v>68</v>
      </c>
      <c r="B71" s="5">
        <v>730034.52429592935</v>
      </c>
      <c r="C71" s="5">
        <v>10462.12570407067</v>
      </c>
    </row>
    <row r="72" spans="1:3">
      <c r="A72" s="5">
        <v>69</v>
      </c>
      <c r="B72" s="5">
        <v>597903.72725099325</v>
      </c>
      <c r="C72" s="5">
        <v>64023.412749006762</v>
      </c>
    </row>
    <row r="73" spans="1:3">
      <c r="A73" s="5">
        <v>70</v>
      </c>
      <c r="B73" s="5">
        <v>511076.0306921255</v>
      </c>
      <c r="C73" s="5">
        <v>-32025.530692125496</v>
      </c>
    </row>
    <row r="74" spans="1:3">
      <c r="A74" s="5">
        <v>71</v>
      </c>
      <c r="B74" s="5">
        <v>602192.59270076349</v>
      </c>
      <c r="C74" s="5">
        <v>2831.2772992365062</v>
      </c>
    </row>
    <row r="75" spans="1:3">
      <c r="A75" s="5">
        <v>72</v>
      </c>
      <c r="B75" s="5">
        <v>639905.33297016425</v>
      </c>
      <c r="C75" s="5">
        <v>34868.757029835717</v>
      </c>
    </row>
    <row r="76" spans="1:3">
      <c r="A76" s="5">
        <v>73</v>
      </c>
      <c r="B76" s="5">
        <v>616637.9738288864</v>
      </c>
      <c r="C76" s="5">
        <v>-568.56382888637017</v>
      </c>
    </row>
    <row r="77" spans="1:3">
      <c r="A77" s="5">
        <v>74</v>
      </c>
      <c r="B77" s="5">
        <v>702740.86798697803</v>
      </c>
      <c r="C77" s="5">
        <v>-71910.927986978088</v>
      </c>
    </row>
    <row r="78" spans="1:3">
      <c r="A78" s="5">
        <v>75</v>
      </c>
      <c r="B78" s="5">
        <v>717098.54958927375</v>
      </c>
      <c r="C78" s="5">
        <v>70989.130410726299</v>
      </c>
    </row>
    <row r="79" spans="1:3">
      <c r="A79" s="5">
        <v>76</v>
      </c>
      <c r="B79" s="5">
        <v>728689.31932888948</v>
      </c>
      <c r="C79" s="5">
        <v>-47848.959328889498</v>
      </c>
    </row>
    <row r="80" spans="1:3">
      <c r="A80" s="5">
        <v>77</v>
      </c>
      <c r="B80" s="5">
        <v>651016.78342488571</v>
      </c>
      <c r="C80" s="5">
        <v>-7359.3134248857386</v>
      </c>
    </row>
    <row r="81" spans="1:3">
      <c r="A81" s="5">
        <v>78</v>
      </c>
      <c r="B81" s="5">
        <v>647932.92710621399</v>
      </c>
      <c r="C81" s="5">
        <v>43179.672893785988</v>
      </c>
    </row>
    <row r="82" spans="1:3">
      <c r="A82" s="5">
        <v>79</v>
      </c>
      <c r="B82" s="5">
        <v>723140.64107482578</v>
      </c>
      <c r="C82" s="5">
        <v>53781.528925174265</v>
      </c>
    </row>
    <row r="83" spans="1:3">
      <c r="A83" s="5">
        <v>80</v>
      </c>
      <c r="B83" s="5">
        <v>663428.8128329555</v>
      </c>
      <c r="C83" s="5">
        <v>-26867.472832955536</v>
      </c>
    </row>
    <row r="84" spans="1:3">
      <c r="A84" s="5">
        <v>81</v>
      </c>
      <c r="B84" s="5">
        <v>632055.40171767795</v>
      </c>
      <c r="C84" s="5">
        <v>-10685.821717677987</v>
      </c>
    </row>
    <row r="85" spans="1:3">
      <c r="A85" s="5">
        <v>82</v>
      </c>
      <c r="B85" s="5">
        <v>616528.01052616956</v>
      </c>
      <c r="C85" s="5">
        <v>65679.999473830452</v>
      </c>
    </row>
    <row r="86" spans="1:3">
      <c r="A86" s="5">
        <v>83</v>
      </c>
      <c r="B86" s="5">
        <v>629845.35694124957</v>
      </c>
      <c r="C86" s="5">
        <v>97396.503058750415</v>
      </c>
    </row>
    <row r="87" spans="1:3">
      <c r="A87" s="5">
        <v>84</v>
      </c>
      <c r="B87" s="5">
        <v>540330.14011760894</v>
      </c>
      <c r="C87" s="5">
        <v>28770.639882391086</v>
      </c>
    </row>
    <row r="88" spans="1:3">
      <c r="A88" s="5">
        <v>85</v>
      </c>
      <c r="B88" s="5">
        <v>552281.16488504247</v>
      </c>
      <c r="C88" s="5">
        <v>22155.125114957569</v>
      </c>
    </row>
    <row r="89" spans="1:3">
      <c r="A89" s="5">
        <v>86</v>
      </c>
      <c r="B89" s="5">
        <v>641164.34140958614</v>
      </c>
      <c r="C89" s="5">
        <v>-29397.621409586165</v>
      </c>
    </row>
    <row r="90" spans="1:3">
      <c r="A90" s="5">
        <v>87</v>
      </c>
      <c r="B90" s="5">
        <v>611787.45605596341</v>
      </c>
      <c r="C90" s="5">
        <v>2808.8639440365369</v>
      </c>
    </row>
    <row r="91" spans="1:3">
      <c r="A91" s="5">
        <v>88</v>
      </c>
      <c r="B91" s="5">
        <v>450954.1972933755</v>
      </c>
      <c r="C91" s="5">
        <v>-242.27729337551864</v>
      </c>
    </row>
    <row r="92" spans="1:3">
      <c r="A92" s="5">
        <v>89</v>
      </c>
      <c r="B92" s="5">
        <v>659996.88852322742</v>
      </c>
      <c r="C92" s="5">
        <v>51216.571476772544</v>
      </c>
    </row>
    <row r="93" spans="1:3">
      <c r="A93" s="5">
        <v>90</v>
      </c>
      <c r="B93" s="5">
        <v>736021.96408953983</v>
      </c>
      <c r="C93" s="5">
        <v>-108850.06408953981</v>
      </c>
    </row>
    <row r="94" spans="1:3">
      <c r="A94" s="5">
        <v>91</v>
      </c>
      <c r="B94" s="5">
        <v>699927.02017552638</v>
      </c>
      <c r="C94" s="5">
        <v>39925.559824473574</v>
      </c>
    </row>
    <row r="95" spans="1:3">
      <c r="A95" s="5">
        <v>92</v>
      </c>
      <c r="B95" s="5">
        <v>542145.9335018259</v>
      </c>
      <c r="C95" s="5">
        <v>44161.286498174071</v>
      </c>
    </row>
    <row r="96" spans="1:3">
      <c r="A96" s="5">
        <v>93</v>
      </c>
      <c r="B96" s="5">
        <v>597386.98180707009</v>
      </c>
      <c r="C96" s="5">
        <v>-11449.501807070104</v>
      </c>
    </row>
    <row r="97" spans="1:3">
      <c r="A97" s="5">
        <v>94</v>
      </c>
      <c r="B97" s="5">
        <v>696345.97061797534</v>
      </c>
      <c r="C97" s="5">
        <v>57127.579382024705</v>
      </c>
    </row>
    <row r="98" spans="1:3">
      <c r="A98" s="5">
        <v>95</v>
      </c>
      <c r="B98" s="5">
        <v>769971.66221712437</v>
      </c>
      <c r="C98" s="5">
        <v>68278.657782875584</v>
      </c>
    </row>
    <row r="99" spans="1:3">
      <c r="A99" s="5">
        <v>96</v>
      </c>
      <c r="B99" s="5">
        <v>623495.5167513194</v>
      </c>
      <c r="C99" s="5">
        <v>-15597.396751319407</v>
      </c>
    </row>
    <row r="100" spans="1:3">
      <c r="A100" s="5">
        <v>97</v>
      </c>
      <c r="B100" s="5">
        <v>686423.79863615066</v>
      </c>
      <c r="C100" s="5">
        <v>4689.8213638493326</v>
      </c>
    </row>
    <row r="101" spans="1:3">
      <c r="A101" s="5">
        <v>98</v>
      </c>
      <c r="B101" s="5">
        <v>650152.39790266077</v>
      </c>
      <c r="C101" s="5">
        <v>85357.002097339253</v>
      </c>
    </row>
    <row r="102" spans="1:3">
      <c r="A102" s="5">
        <v>99</v>
      </c>
      <c r="B102" s="5">
        <v>599784.37614914204</v>
      </c>
      <c r="C102" s="5">
        <v>5990.9538508579135</v>
      </c>
    </row>
    <row r="103" spans="1:3">
      <c r="A103" s="5">
        <v>100</v>
      </c>
      <c r="B103" s="5">
        <v>641996.44227167801</v>
      </c>
      <c r="C103" s="5">
        <v>33181.237728322041</v>
      </c>
    </row>
    <row r="104" spans="1:3">
      <c r="A104" s="5">
        <v>101</v>
      </c>
      <c r="B104" s="5">
        <v>585854.19321405608</v>
      </c>
      <c r="C104" s="5">
        <v>49327.156785943895</v>
      </c>
    </row>
    <row r="105" spans="1:3">
      <c r="A105" s="5">
        <v>102</v>
      </c>
      <c r="B105" s="5">
        <v>619204.03021434648</v>
      </c>
      <c r="C105" s="5">
        <v>-32577.090214346536</v>
      </c>
    </row>
    <row r="106" spans="1:3">
      <c r="A106" s="5">
        <v>103</v>
      </c>
      <c r="B106" s="5">
        <v>704068.33700775052</v>
      </c>
      <c r="C106" s="5">
        <v>36034.30299224949</v>
      </c>
    </row>
    <row r="107" spans="1:3">
      <c r="A107" s="5">
        <v>104</v>
      </c>
      <c r="B107" s="5">
        <v>522215.3752036512</v>
      </c>
      <c r="C107" s="5">
        <v>103298.66479634884</v>
      </c>
    </row>
    <row r="108" spans="1:3">
      <c r="A108" s="5">
        <v>105</v>
      </c>
      <c r="B108" s="5">
        <v>689661.94947979983</v>
      </c>
      <c r="C108" s="5">
        <v>37565.250520200119</v>
      </c>
    </row>
    <row r="109" spans="1:3">
      <c r="A109" s="5">
        <v>106</v>
      </c>
      <c r="B109" s="5">
        <v>783394.87229682901</v>
      </c>
      <c r="C109" s="5">
        <v>403.01770317100454</v>
      </c>
    </row>
    <row r="110" spans="1:3">
      <c r="A110" s="5">
        <v>107</v>
      </c>
      <c r="B110" s="5">
        <v>719406.07697600732</v>
      </c>
      <c r="C110" s="5">
        <v>75747.763023992651</v>
      </c>
    </row>
    <row r="111" spans="1:3">
      <c r="A111" s="5">
        <v>108</v>
      </c>
      <c r="B111" s="5">
        <v>662976.63925575058</v>
      </c>
      <c r="C111" s="5">
        <v>2618.300744249369</v>
      </c>
    </row>
    <row r="112" spans="1:3">
      <c r="A112" s="5">
        <v>109</v>
      </c>
      <c r="B112" s="5">
        <v>671497.6961296415</v>
      </c>
      <c r="C112" s="5">
        <v>37980.693870358518</v>
      </c>
    </row>
    <row r="113" spans="1:3">
      <c r="A113" s="5">
        <v>110</v>
      </c>
      <c r="B113" s="5">
        <v>652615.64787409455</v>
      </c>
      <c r="C113" s="5">
        <v>11546.842125905445</v>
      </c>
    </row>
    <row r="114" spans="1:3">
      <c r="A114" s="5">
        <v>111</v>
      </c>
      <c r="B114" s="5">
        <v>647540.30311014177</v>
      </c>
      <c r="C114" s="5">
        <v>-14046.09311014181</v>
      </c>
    </row>
    <row r="115" spans="1:3">
      <c r="A115" s="5">
        <v>112</v>
      </c>
      <c r="B115" s="5">
        <v>600475.03490964579</v>
      </c>
      <c r="C115" s="5">
        <v>113136.12509035424</v>
      </c>
    </row>
    <row r="116" spans="1:3">
      <c r="A116" s="5">
        <v>113</v>
      </c>
      <c r="B116" s="5">
        <v>729655.70982154482</v>
      </c>
      <c r="C116" s="5">
        <v>48742.260178455152</v>
      </c>
    </row>
    <row r="117" spans="1:3">
      <c r="A117" s="5">
        <v>114</v>
      </c>
      <c r="B117" s="5">
        <v>822444.73312852043</v>
      </c>
      <c r="C117" s="5">
        <v>50935.286871479591</v>
      </c>
    </row>
    <row r="118" spans="1:3">
      <c r="A118" s="5">
        <v>115</v>
      </c>
      <c r="B118" s="5">
        <v>741167.96295114362</v>
      </c>
      <c r="C118" s="5">
        <v>-43880.062951143598</v>
      </c>
    </row>
    <row r="119" spans="1:3">
      <c r="A119" s="5">
        <v>116</v>
      </c>
      <c r="B119" s="5">
        <v>745168.31486837706</v>
      </c>
      <c r="C119" s="5">
        <v>-27093.524868377019</v>
      </c>
    </row>
    <row r="120" spans="1:3">
      <c r="A120" s="5">
        <v>117</v>
      </c>
      <c r="B120" s="5">
        <v>713698.45945717348</v>
      </c>
      <c r="C120" s="5">
        <v>1243.9705428265734</v>
      </c>
    </row>
    <row r="121" spans="1:3">
      <c r="A121" s="5">
        <v>118</v>
      </c>
      <c r="B121" s="5">
        <v>729887.04882997868</v>
      </c>
      <c r="C121" s="5">
        <v>90631.991170021356</v>
      </c>
    </row>
    <row r="122" spans="1:3">
      <c r="A122" s="5">
        <v>119</v>
      </c>
      <c r="B122" s="5">
        <v>752590.31730687595</v>
      </c>
      <c r="C122" s="5">
        <v>-68372.997306876001</v>
      </c>
    </row>
    <row r="123" spans="1:3">
      <c r="A123" s="5">
        <v>120</v>
      </c>
      <c r="B123" s="5">
        <v>740789.3417975246</v>
      </c>
      <c r="C123" s="5">
        <v>-5309.1517975246534</v>
      </c>
    </row>
    <row r="124" spans="1:3">
      <c r="A124" s="5">
        <v>121</v>
      </c>
      <c r="B124" s="5">
        <v>557154.64811341721</v>
      </c>
      <c r="C124" s="5">
        <v>-47669.838113417209</v>
      </c>
    </row>
    <row r="125" spans="1:3">
      <c r="A125" s="5">
        <v>122</v>
      </c>
      <c r="B125" s="5">
        <v>616981.68552140845</v>
      </c>
      <c r="C125" s="5">
        <v>37335.404478591518</v>
      </c>
    </row>
    <row r="126" spans="1:3">
      <c r="A126" s="5">
        <v>123</v>
      </c>
      <c r="B126" s="5">
        <v>589587.8114557045</v>
      </c>
      <c r="C126" s="5">
        <v>-32100.551455704495</v>
      </c>
    </row>
    <row r="127" spans="1:3">
      <c r="A127" s="5">
        <v>124</v>
      </c>
      <c r="B127" s="5">
        <v>506540.4521775638</v>
      </c>
      <c r="C127" s="5">
        <v>-65265.032177563815</v>
      </c>
    </row>
    <row r="128" spans="1:3">
      <c r="A128" s="5">
        <v>125</v>
      </c>
      <c r="B128" s="5">
        <v>812475.36479903781</v>
      </c>
      <c r="C128" s="5">
        <v>102068.80520096223</v>
      </c>
    </row>
    <row r="129" spans="1:3">
      <c r="A129" s="5">
        <v>126</v>
      </c>
      <c r="B129" s="5">
        <v>845759.02212510537</v>
      </c>
      <c r="C129" s="5">
        <v>-3319.3521251053317</v>
      </c>
    </row>
    <row r="130" spans="1:3">
      <c r="A130" s="5">
        <v>127</v>
      </c>
      <c r="B130" s="5">
        <v>779289.64353736606</v>
      </c>
      <c r="C130" s="5">
        <v>62868.276462633978</v>
      </c>
    </row>
    <row r="131" spans="1:3">
      <c r="A131" s="5">
        <v>128</v>
      </c>
      <c r="B131" s="5">
        <v>691998.13663239207</v>
      </c>
      <c r="C131" s="5">
        <v>5157.16336760798</v>
      </c>
    </row>
    <row r="132" spans="1:3">
      <c r="A132" s="5">
        <v>129</v>
      </c>
      <c r="B132" s="5">
        <v>826064.74050835543</v>
      </c>
      <c r="C132" s="5">
        <v>22953.559491644613</v>
      </c>
    </row>
    <row r="133" spans="1:3">
      <c r="A133" s="5">
        <v>130</v>
      </c>
      <c r="B133" s="5">
        <v>806793.5349724089</v>
      </c>
      <c r="C133" s="5">
        <v>-4963.1849724089261</v>
      </c>
    </row>
    <row r="134" spans="1:3">
      <c r="A134" s="5">
        <v>131</v>
      </c>
      <c r="B134" s="5">
        <v>790608.12776687043</v>
      </c>
      <c r="C134" s="5">
        <v>-65372.8477668704</v>
      </c>
    </row>
    <row r="135" spans="1:3">
      <c r="A135" s="5">
        <v>132</v>
      </c>
      <c r="B135" s="5">
        <v>823817.81454122253</v>
      </c>
      <c r="C135" s="5">
        <v>-12365.094541222556</v>
      </c>
    </row>
    <row r="136" spans="1:3">
      <c r="A136" s="5">
        <v>133</v>
      </c>
      <c r="B136" s="5">
        <v>575647.80591771565</v>
      </c>
      <c r="C136" s="5">
        <v>-48347.675917715649</v>
      </c>
    </row>
    <row r="137" spans="1:3">
      <c r="A137" s="5">
        <v>134</v>
      </c>
      <c r="B137" s="5">
        <v>457418.29907508154</v>
      </c>
      <c r="C137" s="5">
        <v>-56586.649075081514</v>
      </c>
    </row>
    <row r="138" spans="1:3">
      <c r="A138" s="5">
        <v>135</v>
      </c>
      <c r="B138" s="5">
        <v>596577.4052236334</v>
      </c>
      <c r="C138" s="5">
        <v>-3330.1552236333955</v>
      </c>
    </row>
    <row r="139" spans="1:3">
      <c r="A139" s="5">
        <v>136</v>
      </c>
      <c r="B139" s="5">
        <v>545185.40627391706</v>
      </c>
      <c r="C139" s="5">
        <v>-16109.456273917109</v>
      </c>
    </row>
    <row r="140" spans="1:3">
      <c r="A140" s="5">
        <v>137</v>
      </c>
      <c r="B140" s="5">
        <v>710225.66136105568</v>
      </c>
      <c r="C140" s="5">
        <v>-76587.631361055654</v>
      </c>
    </row>
    <row r="141" spans="1:3">
      <c r="A141" s="5">
        <v>138</v>
      </c>
      <c r="B141" s="5">
        <v>713610.52182384965</v>
      </c>
      <c r="C141" s="5">
        <v>29738.318176150322</v>
      </c>
    </row>
    <row r="142" spans="1:3">
      <c r="A142" s="5">
        <v>139</v>
      </c>
      <c r="B142" s="5">
        <v>699272.49157149834</v>
      </c>
      <c r="C142" s="5">
        <v>59555.148428501678</v>
      </c>
    </row>
    <row r="143" spans="1:3">
      <c r="A143" s="5">
        <v>140</v>
      </c>
      <c r="B143" s="5">
        <v>632358.15812304686</v>
      </c>
      <c r="C143" s="5">
        <v>14201.551876953105</v>
      </c>
    </row>
    <row r="144" spans="1:3">
      <c r="A144" s="5">
        <v>141</v>
      </c>
      <c r="B144" s="5">
        <v>669559.76628310757</v>
      </c>
      <c r="C144" s="5">
        <v>46330.763716892456</v>
      </c>
    </row>
    <row r="145" spans="1:3">
      <c r="A145" s="5">
        <v>142</v>
      </c>
      <c r="B145" s="5">
        <v>688131.8691433036</v>
      </c>
      <c r="C145" s="5">
        <v>26965.700856696349</v>
      </c>
    </row>
    <row r="146" spans="1:3">
      <c r="A146" s="5">
        <v>143</v>
      </c>
      <c r="B146" s="5">
        <v>633730.45677851653</v>
      </c>
      <c r="C146" s="5">
        <v>48908.823221483501</v>
      </c>
    </row>
    <row r="147" spans="1:3">
      <c r="A147" s="5">
        <v>144</v>
      </c>
      <c r="B147" s="5">
        <v>672213.88861268235</v>
      </c>
      <c r="C147" s="5">
        <v>22884.62138731766</v>
      </c>
    </row>
    <row r="148" spans="1:3">
      <c r="A148" s="5">
        <v>145</v>
      </c>
      <c r="B148" s="5">
        <v>625273.83167075319</v>
      </c>
      <c r="C148" s="5">
        <v>-47541.261670753243</v>
      </c>
    </row>
    <row r="149" spans="1:3">
      <c r="A149" s="5">
        <v>146</v>
      </c>
      <c r="B149" s="5">
        <v>573689.45473548537</v>
      </c>
      <c r="C149" s="5">
        <v>-36631.124735485413</v>
      </c>
    </row>
    <row r="150" spans="1:3">
      <c r="A150" s="5">
        <v>147</v>
      </c>
      <c r="B150" s="5">
        <v>613684.74021963682</v>
      </c>
      <c r="C150" s="5">
        <v>-12115.870219636825</v>
      </c>
    </row>
    <row r="151" spans="1:3">
      <c r="A151" s="5">
        <v>148</v>
      </c>
      <c r="B151" s="5">
        <v>578658.95369190001</v>
      </c>
      <c r="C151" s="5">
        <v>-7694.1136919000419</v>
      </c>
    </row>
    <row r="152" spans="1:3">
      <c r="A152" s="5">
        <v>149</v>
      </c>
      <c r="B152" s="5">
        <v>630838.88043492241</v>
      </c>
      <c r="C152" s="5">
        <v>-16813.970434922376</v>
      </c>
    </row>
    <row r="153" spans="1:3">
      <c r="A153" s="5">
        <v>150</v>
      </c>
      <c r="B153" s="5">
        <v>694440.05728695448</v>
      </c>
      <c r="C153" s="5">
        <v>18428.292713045492</v>
      </c>
    </row>
    <row r="154" spans="1:3">
      <c r="A154" s="5">
        <v>151</v>
      </c>
      <c r="B154" s="5">
        <v>653451.03487551934</v>
      </c>
      <c r="C154" s="5">
        <v>43293.115124480682</v>
      </c>
    </row>
    <row r="155" spans="1:3">
      <c r="A155" s="5">
        <v>152</v>
      </c>
      <c r="B155" s="5">
        <v>692670.26205104939</v>
      </c>
      <c r="C155" s="5">
        <v>33177.727948950604</v>
      </c>
    </row>
    <row r="156" spans="1:3">
      <c r="A156" s="5">
        <v>153</v>
      </c>
      <c r="B156" s="5">
        <v>802818.36012404156</v>
      </c>
      <c r="C156" s="5">
        <v>-17790.110124041559</v>
      </c>
    </row>
    <row r="157" spans="1:3">
      <c r="A157" s="5">
        <v>154</v>
      </c>
      <c r="B157" s="5">
        <v>689971.21287721791</v>
      </c>
      <c r="C157" s="5">
        <v>8521.4571227821289</v>
      </c>
    </row>
    <row r="158" spans="1:3">
      <c r="A158" s="5">
        <v>155</v>
      </c>
      <c r="B158" s="5">
        <v>730591.54748678918</v>
      </c>
      <c r="C158" s="5">
        <v>-44761.307486789185</v>
      </c>
    </row>
    <row r="159" spans="1:3">
      <c r="A159" s="5">
        <v>156</v>
      </c>
      <c r="B159" s="5">
        <v>705570.97862621443</v>
      </c>
      <c r="C159" s="5">
        <v>-3252.0386262144893</v>
      </c>
    </row>
    <row r="160" spans="1:3">
      <c r="A160" s="5">
        <v>157</v>
      </c>
      <c r="B160" s="5">
        <v>700569.59230249317</v>
      </c>
      <c r="C160" s="5">
        <v>-491.2723024932202</v>
      </c>
    </row>
    <row r="161" spans="1:3">
      <c r="A161" s="5">
        <v>158</v>
      </c>
      <c r="B161" s="5">
        <v>632160.08416797407</v>
      </c>
      <c r="C161" s="5">
        <v>-30157.764167974121</v>
      </c>
    </row>
    <row r="162" spans="1:3">
      <c r="A162" s="5">
        <v>159</v>
      </c>
      <c r="B162" s="5">
        <v>652395.45082261309</v>
      </c>
      <c r="C162" s="5">
        <v>71820.619177386863</v>
      </c>
    </row>
    <row r="163" spans="1:3">
      <c r="A163" s="5">
        <v>160</v>
      </c>
      <c r="B163" s="5">
        <v>562308.13843382872</v>
      </c>
      <c r="C163" s="5">
        <v>58664.891566171311</v>
      </c>
    </row>
    <row r="164" spans="1:3">
      <c r="A164" s="5">
        <v>161</v>
      </c>
      <c r="B164" s="5">
        <v>696111.94986641314</v>
      </c>
      <c r="C164" s="5">
        <v>-45631.889866413083</v>
      </c>
    </row>
    <row r="165" spans="1:3">
      <c r="A165" s="5">
        <v>162</v>
      </c>
      <c r="B165" s="5">
        <v>691508.27288776217</v>
      </c>
      <c r="C165" s="5">
        <v>86790.607112237834</v>
      </c>
    </row>
    <row r="166" spans="1:3">
      <c r="A166" s="5">
        <v>163</v>
      </c>
      <c r="B166" s="5">
        <v>682209.59768157569</v>
      </c>
      <c r="C166" s="5">
        <v>-5112.8876815757249</v>
      </c>
    </row>
    <row r="167" spans="1:3">
      <c r="A167" s="5">
        <v>164</v>
      </c>
      <c r="B167" s="5">
        <v>690137.04878713866</v>
      </c>
      <c r="C167" s="5">
        <v>1871.5912128613563</v>
      </c>
    </row>
    <row r="168" spans="1:3">
      <c r="A168" s="5">
        <v>165</v>
      </c>
      <c r="B168" s="5">
        <v>773568.70761060412</v>
      </c>
      <c r="C168" s="5">
        <v>52229.202389395912</v>
      </c>
    </row>
    <row r="169" spans="1:3">
      <c r="A169" s="5">
        <v>166</v>
      </c>
      <c r="B169" s="5">
        <v>721722.82242137811</v>
      </c>
      <c r="C169" s="5">
        <v>-15437.302421378088</v>
      </c>
    </row>
    <row r="170" spans="1:3">
      <c r="A170" s="5">
        <v>167</v>
      </c>
      <c r="B170" s="5">
        <v>666269.32314815721</v>
      </c>
      <c r="C170" s="5">
        <v>-734.62314815726131</v>
      </c>
    </row>
    <row r="171" spans="1:3">
      <c r="A171" s="5">
        <v>168</v>
      </c>
      <c r="B171" s="5">
        <v>803602.95691665518</v>
      </c>
      <c r="C171" s="5">
        <v>17126.333083344856</v>
      </c>
    </row>
    <row r="172" spans="1:3">
      <c r="A172" s="5">
        <v>169</v>
      </c>
      <c r="B172" s="5">
        <v>775851.18034871737</v>
      </c>
      <c r="C172" s="5">
        <v>-36019.450348717393</v>
      </c>
    </row>
    <row r="173" spans="1:3">
      <c r="A173" s="5">
        <v>170</v>
      </c>
      <c r="B173" s="5">
        <v>672204.21307698125</v>
      </c>
      <c r="C173" s="5">
        <v>-78567.073076981236</v>
      </c>
    </row>
    <row r="174" spans="1:3">
      <c r="A174" s="5">
        <v>171</v>
      </c>
      <c r="B174" s="5">
        <v>741230.80241864594</v>
      </c>
      <c r="C174" s="5">
        <v>28471.957581354072</v>
      </c>
    </row>
    <row r="175" spans="1:3">
      <c r="A175" s="5">
        <v>172</v>
      </c>
      <c r="B175" s="5">
        <v>696760.57099761139</v>
      </c>
      <c r="C175" s="5">
        <v>-17029.000997611438</v>
      </c>
    </row>
    <row r="176" spans="1:3">
      <c r="A176" s="5">
        <v>173</v>
      </c>
      <c r="B176" s="5">
        <v>780049.98933172179</v>
      </c>
      <c r="C176" s="5">
        <v>294.19066827825736</v>
      </c>
    </row>
    <row r="177" spans="1:3">
      <c r="A177" s="5">
        <v>174</v>
      </c>
      <c r="B177" s="5">
        <v>763337.2475030435</v>
      </c>
      <c r="C177" s="5">
        <v>-41973.137503043516</v>
      </c>
    </row>
    <row r="178" spans="1:3">
      <c r="A178" s="5">
        <v>175</v>
      </c>
      <c r="B178" s="5">
        <v>788556.32241745142</v>
      </c>
      <c r="C178" s="5">
        <v>-30418.032417451381</v>
      </c>
    </row>
    <row r="179" spans="1:3">
      <c r="A179" s="5">
        <v>176</v>
      </c>
      <c r="B179" s="5">
        <v>831669.11641883175</v>
      </c>
      <c r="C179" s="5">
        <v>-27405.116418831749</v>
      </c>
    </row>
    <row r="180" spans="1:3">
      <c r="A180" s="5">
        <v>177</v>
      </c>
      <c r="B180" s="5">
        <v>876877.56609724485</v>
      </c>
      <c r="C180" s="5">
        <v>10660.183902755147</v>
      </c>
    </row>
    <row r="181" spans="1:3">
      <c r="A181" s="5">
        <v>178</v>
      </c>
      <c r="B181" s="5">
        <v>725679.39301134145</v>
      </c>
      <c r="C181" s="5">
        <v>57902.606988658546</v>
      </c>
    </row>
    <row r="182" spans="1:3">
      <c r="A182" s="5">
        <v>179</v>
      </c>
      <c r="B182" s="5">
        <v>757737.20185637043</v>
      </c>
      <c r="C182" s="5">
        <v>24218.318143629585</v>
      </c>
    </row>
    <row r="183" spans="1:3">
      <c r="A183" s="5">
        <v>180</v>
      </c>
      <c r="B183" s="5">
        <v>844992.42913279484</v>
      </c>
      <c r="C183" s="5">
        <v>53038.610867205192</v>
      </c>
    </row>
    <row r="184" spans="1:3">
      <c r="A184" s="5">
        <v>181</v>
      </c>
      <c r="B184" s="5">
        <v>849943.50081776315</v>
      </c>
      <c r="C184" s="5">
        <v>5397.7791822368745</v>
      </c>
    </row>
    <row r="185" spans="1:3">
      <c r="A185" s="5">
        <v>182</v>
      </c>
      <c r="B185" s="5">
        <v>750989.72237407253</v>
      </c>
      <c r="C185" s="5">
        <v>404.15762592747342</v>
      </c>
    </row>
    <row r="186" spans="1:3">
      <c r="A186" s="5">
        <v>183</v>
      </c>
      <c r="B186" s="5">
        <v>761075.92791925161</v>
      </c>
      <c r="C186" s="5">
        <v>1.1520807483466342</v>
      </c>
    </row>
    <row r="187" spans="1:3">
      <c r="A187" s="5">
        <v>184</v>
      </c>
      <c r="B187" s="5">
        <v>825745.42984135915</v>
      </c>
      <c r="C187" s="5">
        <v>-6084.8398413591785</v>
      </c>
    </row>
    <row r="188" spans="1:3">
      <c r="A188" s="5">
        <v>185</v>
      </c>
      <c r="B188" s="5">
        <v>696791.18140940717</v>
      </c>
      <c r="C188" s="5">
        <v>-14935.621409407118</v>
      </c>
    </row>
    <row r="189" spans="1:3">
      <c r="A189" s="5">
        <v>186</v>
      </c>
      <c r="B189" s="5">
        <v>656798.29836009874</v>
      </c>
      <c r="C189" s="5">
        <v>21512.871639901306</v>
      </c>
    </row>
    <row r="190" spans="1:3">
      <c r="A190" s="5">
        <v>187</v>
      </c>
      <c r="B190" s="5">
        <v>698821.80213888141</v>
      </c>
      <c r="C190" s="5">
        <v>67085.147861118545</v>
      </c>
    </row>
    <row r="191" spans="1:3">
      <c r="A191" s="5">
        <v>188</v>
      </c>
      <c r="B191" s="5">
        <v>703925.96274309827</v>
      </c>
      <c r="C191" s="5">
        <v>8620.4172569017392</v>
      </c>
    </row>
    <row r="192" spans="1:3">
      <c r="A192" s="5">
        <v>189</v>
      </c>
      <c r="B192" s="5">
        <v>588327.73568497086</v>
      </c>
      <c r="C192" s="5">
        <v>37666.094315029099</v>
      </c>
    </row>
    <row r="193" spans="1:3">
      <c r="A193" s="5">
        <v>190</v>
      </c>
      <c r="B193" s="5">
        <v>544152.70437519625</v>
      </c>
      <c r="C193" s="5">
        <v>6810.2256248038029</v>
      </c>
    </row>
    <row r="194" spans="1:3">
      <c r="A194" s="5">
        <v>191</v>
      </c>
      <c r="B194" s="5">
        <v>466452.10227387352</v>
      </c>
      <c r="C194" s="5">
        <v>-23176.512273873494</v>
      </c>
    </row>
    <row r="195" spans="1:3">
      <c r="A195" s="5">
        <v>192</v>
      </c>
      <c r="B195" s="5">
        <v>606241.26550490712</v>
      </c>
      <c r="C195" s="5">
        <v>-52229.195504907169</v>
      </c>
    </row>
    <row r="196" spans="1:3">
      <c r="A196" s="5">
        <v>193</v>
      </c>
      <c r="B196" s="5">
        <v>694307.66317977442</v>
      </c>
      <c r="C196" s="5">
        <v>-50878.813179774443</v>
      </c>
    </row>
    <row r="197" spans="1:3">
      <c r="A197" s="5">
        <v>194</v>
      </c>
      <c r="B197" s="5">
        <v>625503.57432104414</v>
      </c>
      <c r="C197" s="5">
        <v>-13579.304321044125</v>
      </c>
    </row>
    <row r="198" spans="1:3">
      <c r="A198" s="5">
        <v>195</v>
      </c>
      <c r="B198" s="5">
        <v>561162.52825988492</v>
      </c>
      <c r="C198" s="5">
        <v>-1740.5082598848967</v>
      </c>
    </row>
    <row r="199" spans="1:3">
      <c r="A199" s="5">
        <v>196</v>
      </c>
      <c r="B199" s="5">
        <v>537568.12774520181</v>
      </c>
      <c r="C199" s="5">
        <v>-88103.067745201814</v>
      </c>
    </row>
    <row r="200" spans="1:3">
      <c r="A200" s="5">
        <v>197</v>
      </c>
      <c r="B200" s="5">
        <v>647161.15675657254</v>
      </c>
      <c r="C200" s="5">
        <v>44286.273243427509</v>
      </c>
    </row>
    <row r="201" spans="1:3">
      <c r="A201" s="5">
        <v>198</v>
      </c>
      <c r="B201" s="5">
        <v>608835.68397874117</v>
      </c>
      <c r="C201" s="5">
        <v>-34769.073978741188</v>
      </c>
    </row>
    <row r="202" spans="1:3">
      <c r="A202" s="5">
        <v>199</v>
      </c>
      <c r="B202" s="5">
        <v>617398.73568252381</v>
      </c>
      <c r="C202" s="5">
        <v>-38448.895682523842</v>
      </c>
    </row>
    <row r="203" spans="1:3">
      <c r="A203" s="5">
        <v>200</v>
      </c>
      <c r="B203" s="5">
        <v>656301.36076175503</v>
      </c>
      <c r="C203" s="5">
        <v>79485.279238244984</v>
      </c>
    </row>
    <row r="204" spans="1:3">
      <c r="A204" s="5">
        <v>201</v>
      </c>
      <c r="B204" s="5">
        <v>631392.80557039718</v>
      </c>
      <c r="C204" s="5">
        <v>-32487.905570397153</v>
      </c>
    </row>
    <row r="205" spans="1:3">
      <c r="A205" s="5">
        <v>202</v>
      </c>
      <c r="B205" s="5">
        <v>710840.56061547238</v>
      </c>
      <c r="C205" s="5">
        <v>76874.94938452763</v>
      </c>
    </row>
    <row r="206" spans="1:3">
      <c r="A206" s="5">
        <v>203</v>
      </c>
      <c r="B206" s="5">
        <v>668045.51140930632</v>
      </c>
      <c r="C206" s="5">
        <v>-60960.591409306275</v>
      </c>
    </row>
    <row r="207" spans="1:3">
      <c r="A207" s="5">
        <v>204</v>
      </c>
      <c r="B207" s="5">
        <v>696037.66235016275</v>
      </c>
      <c r="C207" s="5">
        <v>-45242.172350162757</v>
      </c>
    </row>
    <row r="208" spans="1:3">
      <c r="A208" s="5">
        <v>205</v>
      </c>
      <c r="B208" s="5">
        <v>836055.28191786469</v>
      </c>
      <c r="C208" s="5">
        <v>-10994.761917864671</v>
      </c>
    </row>
    <row r="209" spans="1:3">
      <c r="A209" s="5">
        <v>206</v>
      </c>
      <c r="B209" s="5">
        <v>737229.21624303912</v>
      </c>
      <c r="C209" s="5">
        <v>58235.253756960854</v>
      </c>
    </row>
    <row r="210" spans="1:3">
      <c r="A210" s="5">
        <v>207</v>
      </c>
      <c r="B210" s="5">
        <v>732835.0834612461</v>
      </c>
      <c r="C210" s="5">
        <v>-60966.493461246137</v>
      </c>
    </row>
    <row r="211" spans="1:3">
      <c r="A211" s="5">
        <v>208</v>
      </c>
      <c r="B211" s="5">
        <v>752585.89127820393</v>
      </c>
      <c r="C211" s="5">
        <v>-76668.261278203921</v>
      </c>
    </row>
    <row r="212" spans="1:3">
      <c r="A212" s="5">
        <v>209</v>
      </c>
      <c r="B212" s="5">
        <v>802382.16142784792</v>
      </c>
      <c r="C212" s="5">
        <v>8064.3685721521033</v>
      </c>
    </row>
    <row r="213" spans="1:3">
      <c r="A213" s="5">
        <v>210</v>
      </c>
      <c r="B213" s="5">
        <v>773185.42076321354</v>
      </c>
      <c r="C213" s="5">
        <v>-81897.230763213593</v>
      </c>
    </row>
    <row r="214" spans="1:3">
      <c r="A214" s="5">
        <v>211</v>
      </c>
      <c r="B214" s="5">
        <v>960852.73335105297</v>
      </c>
      <c r="C214" s="5">
        <v>-14019.193351052934</v>
      </c>
    </row>
    <row r="215" spans="1:3">
      <c r="A215" s="5">
        <v>212</v>
      </c>
      <c r="B215" s="5">
        <v>773309.46491990192</v>
      </c>
      <c r="C215" s="5">
        <v>-11346.234919901937</v>
      </c>
    </row>
    <row r="216" spans="1:3">
      <c r="A216" s="5">
        <v>213</v>
      </c>
      <c r="B216" s="5">
        <v>774791.56240358413</v>
      </c>
      <c r="C216" s="5">
        <v>37361.037596415845</v>
      </c>
    </row>
    <row r="217" spans="1:3">
      <c r="A217" s="5">
        <v>214</v>
      </c>
      <c r="B217" s="5">
        <v>764842.07534824079</v>
      </c>
      <c r="C217" s="5">
        <v>40133.424651759211</v>
      </c>
    </row>
    <row r="218" spans="1:3">
      <c r="A218" s="5">
        <v>215</v>
      </c>
      <c r="B218" s="5">
        <v>756022.72810464667</v>
      </c>
      <c r="C218" s="5">
        <v>-3701.0081046466948</v>
      </c>
    </row>
    <row r="219" spans="1:3">
      <c r="A219" s="5">
        <v>216</v>
      </c>
      <c r="B219" s="5">
        <v>824444.3548690757</v>
      </c>
      <c r="C219" s="5">
        <v>12463.885130924289</v>
      </c>
    </row>
    <row r="220" spans="1:3">
      <c r="A220" s="5">
        <v>217</v>
      </c>
      <c r="B220" s="5">
        <v>663980.75812845922</v>
      </c>
      <c r="C220" s="5">
        <v>10308.341871540761</v>
      </c>
    </row>
    <row r="221" spans="1:3">
      <c r="A221" s="5">
        <v>218</v>
      </c>
      <c r="B221" s="5">
        <v>643595.0332953271</v>
      </c>
      <c r="C221" s="5">
        <v>-20702.613295327057</v>
      </c>
    </row>
    <row r="222" spans="1:3">
      <c r="A222" s="5">
        <v>219</v>
      </c>
      <c r="B222" s="5">
        <v>643803.26622237754</v>
      </c>
      <c r="C222" s="5">
        <v>29545.293777622515</v>
      </c>
    </row>
    <row r="223" spans="1:3">
      <c r="A223" s="5">
        <v>220</v>
      </c>
      <c r="B223" s="5">
        <v>616405.7634899324</v>
      </c>
      <c r="C223" s="5">
        <v>-10127.463489932357</v>
      </c>
    </row>
    <row r="224" spans="1:3">
      <c r="A224" s="5">
        <v>221</v>
      </c>
      <c r="B224" s="5">
        <v>706156.70934418205</v>
      </c>
      <c r="C224" s="5">
        <v>6063.1006558180088</v>
      </c>
    </row>
    <row r="225" spans="1:3">
      <c r="A225" s="5">
        <v>222</v>
      </c>
      <c r="B225" s="5">
        <v>677899.57311110105</v>
      </c>
      <c r="C225" s="5">
        <v>-5229.0331111010164</v>
      </c>
    </row>
    <row r="226" spans="1:3">
      <c r="A226" s="5">
        <v>223</v>
      </c>
      <c r="B226" s="5">
        <v>741339.5287971606</v>
      </c>
      <c r="C226" s="5">
        <v>-8671.6087971605593</v>
      </c>
    </row>
    <row r="227" spans="1:3">
      <c r="A227" s="5">
        <v>224</v>
      </c>
      <c r="B227" s="5">
        <v>761221.2582242518</v>
      </c>
      <c r="C227" s="5">
        <v>-37689.858224251773</v>
      </c>
    </row>
    <row r="228" spans="1:3">
      <c r="A228" s="5">
        <v>225</v>
      </c>
      <c r="B228" s="5">
        <v>613470.04672250233</v>
      </c>
      <c r="C228" s="5">
        <v>28094.553277497645</v>
      </c>
    </row>
    <row r="229" spans="1:3">
      <c r="A229" s="5">
        <v>226</v>
      </c>
      <c r="B229" s="5">
        <v>528581.74365125771</v>
      </c>
      <c r="C229" s="5">
        <v>7963.7463487422792</v>
      </c>
    </row>
    <row r="230" spans="1:3">
      <c r="A230" s="5">
        <v>227</v>
      </c>
      <c r="B230" s="5">
        <v>557248.8162036771</v>
      </c>
      <c r="C230" s="5">
        <v>-29567.25620367704</v>
      </c>
    </row>
    <row r="231" spans="1:3">
      <c r="A231" s="5">
        <v>228</v>
      </c>
      <c r="B231" s="5">
        <v>504331.29395856231</v>
      </c>
      <c r="C231" s="5">
        <v>25267.646041437634</v>
      </c>
    </row>
    <row r="232" spans="1:3">
      <c r="A232" s="5">
        <v>229</v>
      </c>
      <c r="B232" s="5">
        <v>628559.99014122633</v>
      </c>
      <c r="C232" s="5">
        <v>-57596.680141226272</v>
      </c>
    </row>
    <row r="233" spans="1:3">
      <c r="A233" s="5">
        <v>230</v>
      </c>
      <c r="B233" s="5">
        <v>820259.0196168992</v>
      </c>
      <c r="C233" s="5">
        <v>50678.380383100826</v>
      </c>
    </row>
    <row r="234" spans="1:3">
      <c r="A234" s="5">
        <v>231</v>
      </c>
      <c r="B234" s="5">
        <v>638927.67079375184</v>
      </c>
      <c r="C234" s="5">
        <v>-41958.400793751818</v>
      </c>
    </row>
    <row r="235" spans="1:3">
      <c r="A235" s="5">
        <v>232</v>
      </c>
      <c r="B235" s="5">
        <v>626436.70478917705</v>
      </c>
      <c r="C235" s="5">
        <v>21076.145210822928</v>
      </c>
    </row>
    <row r="236" spans="1:3">
      <c r="A236" s="5">
        <v>233</v>
      </c>
      <c r="B236" s="5">
        <v>611399.50918109203</v>
      </c>
      <c r="C236" s="5">
        <v>46672.630818907986</v>
      </c>
    </row>
    <row r="237" spans="1:3">
      <c r="A237" s="5">
        <v>234</v>
      </c>
      <c r="B237" s="5">
        <v>645715.2724505493</v>
      </c>
      <c r="C237" s="5">
        <v>77589.837549450691</v>
      </c>
    </row>
    <row r="238" spans="1:3">
      <c r="A238" s="5">
        <v>235</v>
      </c>
      <c r="B238" s="5">
        <v>628358.54750272387</v>
      </c>
      <c r="C238" s="5">
        <v>12307.982497276156</v>
      </c>
    </row>
    <row r="239" spans="1:3">
      <c r="A239" s="5">
        <v>236</v>
      </c>
      <c r="B239" s="5">
        <v>666894.28465716378</v>
      </c>
      <c r="C239" s="5">
        <v>3735.1953428362031</v>
      </c>
    </row>
    <row r="240" spans="1:3">
      <c r="A240" s="5">
        <v>237</v>
      </c>
      <c r="B240" s="5">
        <v>782234.41380557558</v>
      </c>
      <c r="C240" s="5">
        <v>-61155.063805575599</v>
      </c>
    </row>
    <row r="241" spans="1:3">
      <c r="A241" s="5">
        <v>238</v>
      </c>
      <c r="B241" s="5">
        <v>815498.31721575116</v>
      </c>
      <c r="C241" s="5">
        <v>-5143.2972157511394</v>
      </c>
    </row>
    <row r="242" spans="1:3">
      <c r="A242" s="5">
        <v>239</v>
      </c>
      <c r="B242" s="5">
        <v>764903.92102560145</v>
      </c>
      <c r="C242" s="5">
        <v>-2984.6710256014485</v>
      </c>
    </row>
    <row r="243" spans="1:3">
      <c r="A243" s="5">
        <v>240</v>
      </c>
      <c r="B243" s="5">
        <v>721523.10908220569</v>
      </c>
      <c r="C243" s="5">
        <v>15547.070917794365</v>
      </c>
    </row>
    <row r="244" spans="1:3">
      <c r="A244" s="5">
        <v>241</v>
      </c>
      <c r="B244" s="5">
        <v>762064.13374743192</v>
      </c>
      <c r="C244" s="5">
        <v>14928.796252568136</v>
      </c>
    </row>
    <row r="245" spans="1:3">
      <c r="A245" s="5">
        <v>242</v>
      </c>
      <c r="B245" s="5">
        <v>659703.18585603649</v>
      </c>
      <c r="C245" s="5">
        <v>16634.22414396354</v>
      </c>
    </row>
    <row r="246" spans="1:3">
      <c r="A246" s="5">
        <v>243</v>
      </c>
      <c r="B246" s="5">
        <v>828509.75207539171</v>
      </c>
      <c r="C246" s="5">
        <v>-290.08207539166324</v>
      </c>
    </row>
    <row r="247" spans="1:3">
      <c r="A247" s="5">
        <v>244</v>
      </c>
      <c r="B247" s="5">
        <v>769576.52094099903</v>
      </c>
      <c r="C247" s="5">
        <v>-6416.6009409989929</v>
      </c>
    </row>
    <row r="248" spans="1:3">
      <c r="A248" s="5">
        <v>245</v>
      </c>
      <c r="B248" s="5">
        <v>790225.47742990102</v>
      </c>
      <c r="C248" s="5">
        <v>11776.202570099034</v>
      </c>
    </row>
    <row r="249" spans="1:3">
      <c r="A249" s="5">
        <v>246</v>
      </c>
      <c r="B249" s="5">
        <v>746168.99447380891</v>
      </c>
      <c r="C249" s="5">
        <v>4302.3455261910567</v>
      </c>
    </row>
    <row r="250" spans="1:3">
      <c r="A250" s="5">
        <v>247</v>
      </c>
      <c r="B250" s="5">
        <v>717244.79972389736</v>
      </c>
      <c r="C250" s="5">
        <v>-38013.939723897376</v>
      </c>
    </row>
    <row r="251" spans="1:3">
      <c r="A251" s="5">
        <v>248</v>
      </c>
      <c r="B251" s="5">
        <v>695794.67076054378</v>
      </c>
      <c r="C251" s="5">
        <v>-15905.930760543793</v>
      </c>
    </row>
    <row r="252" spans="1:3">
      <c r="A252" s="5">
        <v>249</v>
      </c>
      <c r="B252" s="5">
        <v>593283.11309442809</v>
      </c>
      <c r="C252" s="5">
        <v>13500.556905571953</v>
      </c>
    </row>
    <row r="253" spans="1:3">
      <c r="A253" s="5">
        <v>250</v>
      </c>
      <c r="B253" s="5">
        <v>651931.56371872663</v>
      </c>
      <c r="C253" s="5">
        <v>-9180.1437187265838</v>
      </c>
    </row>
    <row r="254" spans="1:3">
      <c r="A254" s="5">
        <v>251</v>
      </c>
      <c r="B254" s="5">
        <v>649443.99738964404</v>
      </c>
      <c r="C254" s="5">
        <v>-1490.2173896440072</v>
      </c>
    </row>
    <row r="255" spans="1:3">
      <c r="A255" s="5">
        <v>252</v>
      </c>
      <c r="B255" s="5">
        <v>709197.26276896393</v>
      </c>
      <c r="C255" s="5">
        <v>20243.18723103602</v>
      </c>
    </row>
    <row r="256" spans="1:3">
      <c r="A256" s="5">
        <v>253</v>
      </c>
      <c r="B256" s="5">
        <v>773201.05749787053</v>
      </c>
      <c r="C256" s="5">
        <v>-8252.0574978705263</v>
      </c>
    </row>
    <row r="257" spans="1:3">
      <c r="A257" s="5">
        <v>254</v>
      </c>
      <c r="B257" s="5">
        <v>725994.47886763001</v>
      </c>
      <c r="C257" s="5">
        <v>73052.461132369936</v>
      </c>
    </row>
    <row r="258" spans="1:3">
      <c r="A258" s="5">
        <v>255</v>
      </c>
      <c r="B258" s="5">
        <v>694455.56351464882</v>
      </c>
      <c r="C258" s="5">
        <v>25623.976485351217</v>
      </c>
    </row>
    <row r="259" spans="1:3">
      <c r="A259" s="5">
        <v>256</v>
      </c>
      <c r="B259" s="5">
        <v>654412.5554369645</v>
      </c>
      <c r="C259" s="5">
        <v>-42022.415436964482</v>
      </c>
    </row>
    <row r="260" spans="1:3">
      <c r="A260" s="5">
        <v>257</v>
      </c>
      <c r="B260" s="5">
        <v>741182.64867464197</v>
      </c>
      <c r="C260" s="5">
        <v>98925.471325358027</v>
      </c>
    </row>
    <row r="261" spans="1:3">
      <c r="A261" s="5">
        <v>258</v>
      </c>
      <c r="B261" s="5">
        <v>663070.96737315983</v>
      </c>
      <c r="C261" s="5">
        <v>34817.122626840137</v>
      </c>
    </row>
    <row r="262" spans="1:3">
      <c r="A262" s="5">
        <v>259</v>
      </c>
      <c r="B262" s="5">
        <v>731159.39389785437</v>
      </c>
      <c r="C262" s="5">
        <v>14956.196102145594</v>
      </c>
    </row>
    <row r="263" spans="1:3">
      <c r="A263" s="5">
        <v>260</v>
      </c>
      <c r="B263" s="5">
        <v>711530.54781445465</v>
      </c>
      <c r="C263" s="5">
        <v>64579.772185545298</v>
      </c>
    </row>
    <row r="264" spans="1:3">
      <c r="A264" s="5">
        <v>261</v>
      </c>
      <c r="B264" s="5">
        <v>517170.1862137136</v>
      </c>
      <c r="C264" s="5">
        <v>11682.43378628639</v>
      </c>
    </row>
    <row r="265" spans="1:3">
      <c r="A265" s="5">
        <v>262</v>
      </c>
      <c r="B265" s="5">
        <v>600386.25513955322</v>
      </c>
      <c r="C265" s="5">
        <v>5365.0748604467371</v>
      </c>
    </row>
    <row r="266" spans="1:3">
      <c r="A266" s="5">
        <v>263</v>
      </c>
      <c r="B266" s="5">
        <v>603310.7361972658</v>
      </c>
      <c r="C266" s="5">
        <v>74329.913802734227</v>
      </c>
    </row>
    <row r="267" spans="1:3">
      <c r="A267" s="5">
        <v>264</v>
      </c>
      <c r="B267" s="5">
        <v>612327.30643594475</v>
      </c>
      <c r="C267" s="5">
        <v>24285.923564055236</v>
      </c>
    </row>
    <row r="268" spans="1:3">
      <c r="A268" s="5">
        <v>265</v>
      </c>
      <c r="B268" s="5">
        <v>729321.6675105883</v>
      </c>
      <c r="C268" s="5">
        <v>-20336.47751058836</v>
      </c>
    </row>
    <row r="269" spans="1:3">
      <c r="A269" s="5">
        <v>266</v>
      </c>
      <c r="B269" s="5">
        <v>741902.50177081767</v>
      </c>
      <c r="C269" s="5">
        <v>25890.438229182269</v>
      </c>
    </row>
    <row r="270" spans="1:3">
      <c r="A270" s="5">
        <v>267</v>
      </c>
      <c r="B270" s="5">
        <v>725873.50359414192</v>
      </c>
      <c r="C270" s="5">
        <v>19707.00640585809</v>
      </c>
    </row>
    <row r="271" spans="1:3">
      <c r="A271" s="5">
        <v>268</v>
      </c>
      <c r="B271" s="5">
        <v>728199.8150693269</v>
      </c>
      <c r="C271" s="5">
        <v>34128.494930673158</v>
      </c>
    </row>
    <row r="272" spans="1:3">
      <c r="A272" s="5">
        <v>269</v>
      </c>
      <c r="B272" s="5">
        <v>738997.93418729224</v>
      </c>
      <c r="C272" s="5">
        <v>-78363.944187292247</v>
      </c>
    </row>
    <row r="273" spans="1:3">
      <c r="A273" s="5">
        <v>270</v>
      </c>
      <c r="B273" s="5">
        <v>691056.17190993321</v>
      </c>
      <c r="C273" s="5">
        <v>48318.388090066845</v>
      </c>
    </row>
    <row r="274" spans="1:3">
      <c r="A274" s="5">
        <v>271</v>
      </c>
      <c r="B274" s="5">
        <v>804686.44119514967</v>
      </c>
      <c r="C274" s="5">
        <v>-4929.9811951497104</v>
      </c>
    </row>
    <row r="275" spans="1:3">
      <c r="A275" s="5">
        <v>272</v>
      </c>
      <c r="B275" s="5">
        <v>669966.50079199986</v>
      </c>
      <c r="C275" s="5">
        <v>-76623.500791999861</v>
      </c>
    </row>
    <row r="276" spans="1:3">
      <c r="A276" s="5">
        <v>273</v>
      </c>
      <c r="B276" s="5">
        <v>634255.92495569377</v>
      </c>
      <c r="C276" s="5">
        <v>10784.0450443062</v>
      </c>
    </row>
    <row r="277" spans="1:3">
      <c r="A277" s="5">
        <v>274</v>
      </c>
      <c r="B277" s="5">
        <v>523580.43174889137</v>
      </c>
      <c r="C277" s="5">
        <v>38016.898251108592</v>
      </c>
    </row>
    <row r="278" spans="1:3">
      <c r="A278" s="5">
        <v>275</v>
      </c>
      <c r="B278" s="5">
        <v>645941.78666511911</v>
      </c>
      <c r="C278" s="5">
        <v>-10104.046665119124</v>
      </c>
    </row>
    <row r="279" spans="1:3">
      <c r="A279" s="5">
        <v>276</v>
      </c>
      <c r="B279" s="5">
        <v>602918.13009123283</v>
      </c>
      <c r="C279" s="5">
        <v>83819.739908767166</v>
      </c>
    </row>
    <row r="280" spans="1:3">
      <c r="A280" s="5">
        <v>277</v>
      </c>
      <c r="B280" s="5">
        <v>749259.81214010715</v>
      </c>
      <c r="C280" s="5">
        <v>-76183.472140107187</v>
      </c>
    </row>
    <row r="281" spans="1:3">
      <c r="A281" s="5">
        <v>278</v>
      </c>
      <c r="B281" s="5">
        <v>704825.07505835686</v>
      </c>
      <c r="C281" s="5">
        <v>33723.344941643183</v>
      </c>
    </row>
    <row r="282" spans="1:3">
      <c r="A282" s="5">
        <v>279</v>
      </c>
      <c r="B282" s="5">
        <v>756535.97623766609</v>
      </c>
      <c r="C282" s="5">
        <v>83.793762333923951</v>
      </c>
    </row>
    <row r="283" spans="1:3">
      <c r="A283" s="5">
        <v>280</v>
      </c>
      <c r="B283" s="5">
        <v>776366.47597469098</v>
      </c>
      <c r="C283" s="5">
        <v>-15244.055974690942</v>
      </c>
    </row>
    <row r="284" spans="1:3">
      <c r="A284" s="5">
        <v>281</v>
      </c>
      <c r="B284" s="5">
        <v>565231.09399983962</v>
      </c>
      <c r="C284" s="5">
        <v>-40331.523999839672</v>
      </c>
    </row>
    <row r="285" spans="1:3">
      <c r="A285" s="5">
        <v>282</v>
      </c>
      <c r="B285" s="5">
        <v>577776.17516403436</v>
      </c>
      <c r="C285" s="5">
        <v>-22218.405164034339</v>
      </c>
    </row>
    <row r="286" spans="1:3">
      <c r="A286" s="5">
        <v>283</v>
      </c>
      <c r="B286" s="5">
        <v>684777.92851061968</v>
      </c>
      <c r="C286" s="5">
        <v>29305.751489380375</v>
      </c>
    </row>
    <row r="287" spans="1:3">
      <c r="A287" s="5">
        <v>284</v>
      </c>
      <c r="B287" s="5">
        <v>493400.10274274903</v>
      </c>
      <c r="C287" s="5">
        <v>4039.7172572509735</v>
      </c>
    </row>
    <row r="288" spans="1:3">
      <c r="A288" s="5">
        <v>285</v>
      </c>
      <c r="B288" s="5">
        <v>643454.66588957969</v>
      </c>
      <c r="C288" s="5">
        <v>-6679.0058895796537</v>
      </c>
    </row>
    <row r="289" spans="1:3">
      <c r="A289" s="5">
        <v>286</v>
      </c>
      <c r="B289" s="5">
        <v>636511.1523074382</v>
      </c>
      <c r="C289" s="5">
        <v>-3501.6223074381705</v>
      </c>
    </row>
    <row r="290" spans="1:3">
      <c r="A290" s="5">
        <v>287</v>
      </c>
      <c r="B290" s="5">
        <v>607766.92345340084</v>
      </c>
      <c r="C290" s="5">
        <v>2182.0765465991572</v>
      </c>
    </row>
    <row r="291" spans="1:3">
      <c r="A291" s="5">
        <v>288</v>
      </c>
      <c r="B291" s="5">
        <v>559954.83900298458</v>
      </c>
      <c r="C291" s="5">
        <v>-11851.139002984622</v>
      </c>
    </row>
    <row r="292" spans="1:3">
      <c r="A292" s="5">
        <v>289</v>
      </c>
      <c r="B292" s="5">
        <v>713226.6110207208</v>
      </c>
      <c r="C292" s="5">
        <v>16197.808979279245</v>
      </c>
    </row>
    <row r="293" spans="1:3">
      <c r="A293" s="5">
        <v>290</v>
      </c>
      <c r="B293" s="5">
        <v>736594.30411086779</v>
      </c>
      <c r="C293" s="5">
        <v>-40332.814110867796</v>
      </c>
    </row>
    <row r="294" spans="1:3">
      <c r="A294" s="5">
        <v>291</v>
      </c>
      <c r="B294" s="5">
        <v>721987.89842476032</v>
      </c>
      <c r="C294" s="5">
        <v>91328.811575239641</v>
      </c>
    </row>
    <row r="295" spans="1:3">
      <c r="A295" s="5">
        <v>292</v>
      </c>
      <c r="B295" s="5">
        <v>719026.02464889293</v>
      </c>
      <c r="C295" s="5">
        <v>-16957.104648892884</v>
      </c>
    </row>
    <row r="296" spans="1:3">
      <c r="A296" s="5">
        <v>293</v>
      </c>
      <c r="B296" s="5">
        <v>577053.48773436795</v>
      </c>
      <c r="C296" s="5">
        <v>-30829.787734368001</v>
      </c>
    </row>
    <row r="297" spans="1:3">
      <c r="A297" s="5">
        <v>294</v>
      </c>
      <c r="B297" s="5">
        <v>519481.76949492225</v>
      </c>
      <c r="C297" s="5">
        <v>13639.49050507776</v>
      </c>
    </row>
    <row r="298" spans="1:3">
      <c r="A298" s="5">
        <v>295</v>
      </c>
      <c r="B298" s="5">
        <v>493369.06678580737</v>
      </c>
      <c r="C298" s="5">
        <v>5601.2532141926349</v>
      </c>
    </row>
    <row r="299" spans="1:3">
      <c r="A299" s="5">
        <v>296</v>
      </c>
      <c r="B299" s="5">
        <v>460350.45536388492</v>
      </c>
      <c r="C299" s="5">
        <v>27387.804636115092</v>
      </c>
    </row>
    <row r="300" spans="1:3">
      <c r="A300" s="5">
        <v>297</v>
      </c>
      <c r="B300" s="5">
        <v>669439.07323250512</v>
      </c>
      <c r="C300" s="5">
        <v>-979.70323250512592</v>
      </c>
    </row>
    <row r="301" spans="1:3">
      <c r="A301" s="5">
        <v>298</v>
      </c>
      <c r="B301" s="5">
        <v>678734.24267033301</v>
      </c>
      <c r="C301" s="5">
        <v>84428.20732966694</v>
      </c>
    </row>
    <row r="302" spans="1:3">
      <c r="A302" s="5">
        <v>299</v>
      </c>
      <c r="B302" s="5">
        <v>620709.28510067356</v>
      </c>
      <c r="C302" s="5">
        <v>-21691.9551006736</v>
      </c>
    </row>
    <row r="303" spans="1:3">
      <c r="A303" s="5">
        <v>300</v>
      </c>
      <c r="B303" s="5">
        <v>472664.62305107713</v>
      </c>
      <c r="C303" s="5">
        <v>-71082.043051077111</v>
      </c>
    </row>
    <row r="304" spans="1:3">
      <c r="A304" s="5">
        <v>301</v>
      </c>
      <c r="B304" s="5">
        <v>716254.38161139027</v>
      </c>
      <c r="C304" s="5">
        <v>-12441.391611390281</v>
      </c>
    </row>
    <row r="305" spans="1:3">
      <c r="A305" s="5">
        <v>302</v>
      </c>
      <c r="B305" s="5">
        <v>720404.9578644709</v>
      </c>
      <c r="C305" s="5">
        <v>3941.7721355290851</v>
      </c>
    </row>
    <row r="306" spans="1:3">
      <c r="A306" s="5">
        <v>303</v>
      </c>
      <c r="B306" s="5">
        <v>728497.85346244101</v>
      </c>
      <c r="C306" s="5">
        <v>2392.1565375589998</v>
      </c>
    </row>
    <row r="307" spans="1:3">
      <c r="A307" s="5">
        <v>304</v>
      </c>
      <c r="B307" s="5">
        <v>717993.80746601359</v>
      </c>
      <c r="C307" s="5">
        <v>62587.142533986364</v>
      </c>
    </row>
    <row r="308" spans="1:3">
      <c r="A308" s="5">
        <v>305</v>
      </c>
      <c r="B308" s="5">
        <v>694218.61766028684</v>
      </c>
      <c r="C308" s="5">
        <v>33738.862339713145</v>
      </c>
    </row>
    <row r="309" spans="1:3">
      <c r="A309" s="5">
        <v>306</v>
      </c>
      <c r="B309" s="5">
        <v>636800.48087561456</v>
      </c>
      <c r="C309" s="5">
        <v>-98424.480875614565</v>
      </c>
    </row>
    <row r="310" spans="1:3">
      <c r="A310" s="5">
        <v>307</v>
      </c>
      <c r="B310" s="5">
        <v>622482.92711979407</v>
      </c>
      <c r="C310" s="5">
        <v>42859.562880205922</v>
      </c>
    </row>
    <row r="311" spans="1:3">
      <c r="A311" s="5">
        <v>308</v>
      </c>
      <c r="B311" s="5">
        <v>709816.130371087</v>
      </c>
      <c r="C311" s="5">
        <v>-58651.950371086947</v>
      </c>
    </row>
    <row r="312" spans="1:3">
      <c r="A312" s="5">
        <v>309</v>
      </c>
      <c r="B312" s="5">
        <v>639807.71676594543</v>
      </c>
      <c r="C312" s="5">
        <v>-11269.416765945381</v>
      </c>
    </row>
    <row r="313" spans="1:3">
      <c r="A313" s="5">
        <v>310</v>
      </c>
      <c r="B313" s="5">
        <v>571560.36394947011</v>
      </c>
      <c r="C313" s="5">
        <v>-35035.523949470138</v>
      </c>
    </row>
    <row r="314" spans="1:3">
      <c r="A314" s="5">
        <v>311</v>
      </c>
      <c r="B314" s="5">
        <v>630472.49247235851</v>
      </c>
      <c r="C314" s="5">
        <v>-8795.1924723584671</v>
      </c>
    </row>
    <row r="315" spans="1:3">
      <c r="A315" s="5">
        <v>312</v>
      </c>
      <c r="B315" s="5">
        <v>746214.32398183015</v>
      </c>
      <c r="C315" s="5">
        <v>24914.746018169797</v>
      </c>
    </row>
    <row r="316" spans="1:3">
      <c r="A316" s="5">
        <v>313</v>
      </c>
      <c r="B316" s="5">
        <v>683410.26394250721</v>
      </c>
      <c r="C316" s="5">
        <v>18642.20605749276</v>
      </c>
    </row>
    <row r="317" spans="1:3">
      <c r="A317" s="5">
        <v>314</v>
      </c>
      <c r="B317" s="5">
        <v>733712.05987337464</v>
      </c>
      <c r="C317" s="5">
        <v>-45343.599873374682</v>
      </c>
    </row>
    <row r="318" spans="1:3">
      <c r="A318" s="5">
        <v>315</v>
      </c>
      <c r="B318" s="5">
        <v>696212.565014716</v>
      </c>
      <c r="C318" s="5">
        <v>16163.204985284014</v>
      </c>
    </row>
    <row r="319" spans="1:3">
      <c r="A319" s="5">
        <v>316</v>
      </c>
      <c r="B319" s="5">
        <v>823482.82775977056</v>
      </c>
      <c r="C319" s="5">
        <v>21227.842240229482</v>
      </c>
    </row>
    <row r="320" spans="1:3">
      <c r="A320" s="5">
        <v>317</v>
      </c>
      <c r="B320" s="5">
        <v>685004.99882842437</v>
      </c>
      <c r="C320" s="5">
        <v>-64740.79882842442</v>
      </c>
    </row>
    <row r="321" spans="1:3">
      <c r="A321" s="5">
        <v>318</v>
      </c>
      <c r="B321" s="5">
        <v>535671.03708646493</v>
      </c>
      <c r="C321" s="5">
        <v>1174.3829135351116</v>
      </c>
    </row>
    <row r="322" spans="1:3">
      <c r="A322" s="5">
        <v>319</v>
      </c>
      <c r="B322" s="5">
        <v>739993.81072779023</v>
      </c>
      <c r="C322" s="5">
        <v>-13217.590727790259</v>
      </c>
    </row>
    <row r="323" spans="1:3" ht="15" thickBot="1">
      <c r="A323" s="6">
        <v>320</v>
      </c>
      <c r="B323" s="6">
        <v>606158.2601938555</v>
      </c>
      <c r="C323" s="6">
        <v>-46497.420193855534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BD53-2142-4E55-943E-279C3EA788F7}">
  <dimension ref="A1:E4"/>
  <sheetViews>
    <sheetView tabSelected="1" workbookViewId="0">
      <selection activeCell="E12" sqref="E12"/>
    </sheetView>
  </sheetViews>
  <sheetFormatPr defaultRowHeight="14.5"/>
  <cols>
    <col min="1" max="1" width="13.36328125" customWidth="1"/>
    <col min="2" max="2" width="20.90625" customWidth="1"/>
    <col min="3" max="3" width="12" customWidth="1"/>
    <col min="4" max="4" width="11.36328125" customWidth="1"/>
    <col min="5" max="5" width="15.7265625" customWidth="1"/>
  </cols>
  <sheetData>
    <row r="1" spans="1:5" ht="29">
      <c r="A1" s="9" t="s">
        <v>138</v>
      </c>
      <c r="B1" s="9" t="s">
        <v>139</v>
      </c>
      <c r="C1" s="9" t="s">
        <v>112</v>
      </c>
      <c r="D1" s="9" t="s">
        <v>113</v>
      </c>
      <c r="E1" s="9" t="s">
        <v>140</v>
      </c>
    </row>
    <row r="2" spans="1:5" ht="29">
      <c r="A2" s="10" t="s">
        <v>141</v>
      </c>
      <c r="B2" s="10" t="s">
        <v>4</v>
      </c>
      <c r="C2" s="10">
        <v>0.16700000000000001</v>
      </c>
      <c r="D2" s="10">
        <v>0.16500000000000001</v>
      </c>
      <c r="E2" s="10" t="s">
        <v>142</v>
      </c>
    </row>
    <row r="3" spans="1:5">
      <c r="A3" s="10" t="s">
        <v>143</v>
      </c>
      <c r="B3" s="10" t="s">
        <v>5</v>
      </c>
      <c r="C3" s="10">
        <v>0.73599999999999999</v>
      </c>
      <c r="D3" s="10">
        <v>0.73499999999999999</v>
      </c>
      <c r="E3" s="10" t="s">
        <v>142</v>
      </c>
    </row>
    <row r="4" spans="1:5" ht="59.5" customHeight="1">
      <c r="A4" s="10" t="s">
        <v>144</v>
      </c>
      <c r="B4" s="10" t="s">
        <v>145</v>
      </c>
      <c r="C4" s="10">
        <v>0.80900000000000005</v>
      </c>
      <c r="D4" s="10">
        <v>0.80700000000000005</v>
      </c>
      <c r="E4" s="1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Clean_Data</vt:lpstr>
      <vt:lpstr>Dummy_Variables</vt:lpstr>
      <vt:lpstr>Simple_Regression_1</vt:lpstr>
      <vt:lpstr>Simple_Regression_2</vt:lpstr>
      <vt:lpstr>Multiple_Regression</vt:lpstr>
      <vt:lpstr>Predictions_Residuals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2026-06-22T07:27:12Z</dcterms:created>
  <dcterms:modified xsi:type="dcterms:W3CDTF">2026-06-22T12:05:45Z</dcterms:modified>
</cp:coreProperties>
</file>